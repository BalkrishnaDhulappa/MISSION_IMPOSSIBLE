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1"/>
  </bookViews>
  <sheets>
    <sheet name="Trading Steps" sheetId="3" r:id="rId1"/>
    <sheet name="Force and Reserve Force" sheetId="8" r:id="rId2"/>
  </sheets>
  <calcPr calcId="145621"/>
</workbook>
</file>

<file path=xl/calcChain.xml><?xml version="1.0" encoding="utf-8"?>
<calcChain xmlns="http://schemas.openxmlformats.org/spreadsheetml/2006/main">
  <c r="M335" i="3" l="1"/>
  <c r="M336" i="3" s="1"/>
  <c r="F331" i="3" l="1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G2" i="3" l="1"/>
  <c r="C2" i="3" l="1"/>
  <c r="D2" i="3" l="1"/>
  <c r="E2" i="3" l="1"/>
  <c r="H2" i="3" s="1"/>
  <c r="I2" i="3" l="1"/>
  <c r="J2" i="3" s="1"/>
  <c r="K2" i="3" s="1"/>
  <c r="L2" i="3" l="1"/>
  <c r="A3" i="3" s="1"/>
  <c r="G3" i="3" l="1"/>
  <c r="C3" i="3"/>
  <c r="D3" i="3" s="1"/>
  <c r="E3" i="3" l="1"/>
  <c r="H3" i="3" s="1"/>
  <c r="I3" i="3" l="1"/>
  <c r="J3" i="3" s="1"/>
  <c r="K3" i="3" l="1"/>
  <c r="L3" i="3" s="1"/>
  <c r="A4" i="3" s="1"/>
  <c r="G4" i="3" l="1"/>
  <c r="M2" i="3"/>
  <c r="B3" i="8" s="1"/>
  <c r="E3" i="8" s="1"/>
  <c r="H3" i="8" s="1"/>
  <c r="C4" i="3"/>
  <c r="D4" i="3" s="1"/>
  <c r="E4" i="3" l="1"/>
  <c r="H4" i="3" s="1"/>
  <c r="I4" i="3" l="1"/>
  <c r="J4" i="3" s="1"/>
  <c r="K4" i="3" s="1"/>
  <c r="L4" i="3" s="1"/>
  <c r="A5" i="3" s="1"/>
  <c r="C5" i="3" s="1"/>
  <c r="D5" i="3" s="1"/>
  <c r="G5" i="3" l="1"/>
  <c r="E5" i="3"/>
  <c r="H5" i="3" l="1"/>
  <c r="I5" i="3" s="1"/>
  <c r="J5" i="3" s="1"/>
  <c r="K5" i="3" s="1"/>
  <c r="L5" i="3" s="1"/>
  <c r="A6" i="3" s="1"/>
  <c r="G6" i="3" l="1"/>
  <c r="C6" i="3"/>
  <c r="D6" i="3" s="1"/>
  <c r="E6" i="3" l="1"/>
  <c r="H6" i="3" s="1"/>
  <c r="I6" i="3" s="1"/>
  <c r="J6" i="3" l="1"/>
  <c r="K6" i="3" s="1"/>
  <c r="L6" i="3" s="1"/>
  <c r="A7" i="3" s="1"/>
  <c r="G7" i="3" l="1"/>
  <c r="M5" i="3"/>
  <c r="B4" i="8" s="1"/>
  <c r="E4" i="8" s="1"/>
  <c r="H4" i="8" s="1"/>
  <c r="K4" i="8" s="1"/>
  <c r="N4" i="8" s="1"/>
  <c r="Q4" i="8" s="1"/>
  <c r="T4" i="8" s="1"/>
  <c r="W4" i="8" s="1"/>
  <c r="C7" i="3"/>
  <c r="D7" i="3" s="1"/>
  <c r="E7" i="3" l="1"/>
  <c r="H7" i="3" s="1"/>
  <c r="I7" i="3" s="1"/>
  <c r="J7" i="3" s="1"/>
  <c r="K7" i="3" l="1"/>
  <c r="L7" i="3" s="1"/>
  <c r="A8" i="3" s="1"/>
  <c r="G8" i="3" l="1"/>
  <c r="C8" i="3"/>
  <c r="D8" i="3" s="1"/>
  <c r="E8" i="3" l="1"/>
  <c r="H8" i="3" s="1"/>
  <c r="I8" i="3" s="1"/>
  <c r="J8" i="3" l="1"/>
  <c r="K8" i="3" s="1"/>
  <c r="L8" i="3" s="1"/>
  <c r="A9" i="3" s="1"/>
  <c r="G9" i="3" l="1"/>
  <c r="C9" i="3"/>
  <c r="D9" i="3" s="1"/>
  <c r="E9" i="3" l="1"/>
  <c r="H9" i="3" s="1"/>
  <c r="I9" i="3" l="1"/>
  <c r="J9" i="3" s="1"/>
  <c r="K9" i="3" s="1"/>
  <c r="L9" i="3" s="1"/>
  <c r="A10" i="3" s="1"/>
  <c r="G10" i="3" l="1"/>
  <c r="M8" i="3"/>
  <c r="B5" i="8" s="1"/>
  <c r="E5" i="8" s="1"/>
  <c r="H5" i="8" s="1"/>
  <c r="K5" i="8" s="1"/>
  <c r="N5" i="8" s="1"/>
  <c r="Q5" i="8" s="1"/>
  <c r="C10" i="3"/>
  <c r="D10" i="3" s="1"/>
  <c r="E10" i="3" l="1"/>
  <c r="H10" i="3"/>
  <c r="I10" i="3" s="1"/>
  <c r="J10" i="3" s="1"/>
  <c r="K10" i="3" l="1"/>
  <c r="L10" i="3" s="1"/>
  <c r="A11" i="3" s="1"/>
  <c r="G11" i="3" l="1"/>
  <c r="C11" i="3"/>
  <c r="D11" i="3" s="1"/>
  <c r="E11" i="3" l="1"/>
  <c r="H11" i="3"/>
  <c r="I11" i="3" s="1"/>
  <c r="J11" i="3" s="1"/>
  <c r="K11" i="3" l="1"/>
  <c r="L11" i="3" s="1"/>
  <c r="A12" i="3" s="1"/>
  <c r="G12" i="3" l="1"/>
  <c r="C12" i="3"/>
  <c r="D12" i="3" s="1"/>
  <c r="E12" i="3" l="1"/>
  <c r="H12" i="3" s="1"/>
  <c r="I12" i="3" l="1"/>
  <c r="J12" i="3" s="1"/>
  <c r="K12" i="3" s="1"/>
  <c r="L12" i="3" s="1"/>
  <c r="A13" i="3" s="1"/>
  <c r="G13" i="3" l="1"/>
  <c r="M11" i="3"/>
  <c r="B6" i="8" s="1"/>
  <c r="E6" i="8" s="1"/>
  <c r="H6" i="8" s="1"/>
  <c r="K6" i="8" s="1"/>
  <c r="N6" i="8" s="1"/>
  <c r="Q6" i="8" s="1"/>
  <c r="T6" i="8" s="1"/>
  <c r="W6" i="8" s="1"/>
  <c r="C13" i="3"/>
  <c r="D13" i="3" s="1"/>
  <c r="E13" i="3" l="1"/>
  <c r="H13" i="3" s="1"/>
  <c r="I13" i="3" s="1"/>
  <c r="J13" i="3" s="1"/>
  <c r="K13" i="3" l="1"/>
  <c r="L13" i="3" s="1"/>
  <c r="A14" i="3" s="1"/>
  <c r="G14" i="3" l="1"/>
  <c r="C14" i="3"/>
  <c r="D14" i="3" s="1"/>
  <c r="E14" i="3" l="1"/>
  <c r="H14" i="3" s="1"/>
  <c r="I14" i="3" l="1"/>
  <c r="J14" i="3" s="1"/>
  <c r="K14" i="3" s="1"/>
  <c r="L14" i="3" s="1"/>
  <c r="A15" i="3" s="1"/>
  <c r="G15" i="3" l="1"/>
  <c r="C15" i="3"/>
  <c r="D15" i="3" s="1"/>
  <c r="E15" i="3" l="1"/>
  <c r="H15" i="3" s="1"/>
  <c r="I15" i="3" s="1"/>
  <c r="J15" i="3" s="1"/>
  <c r="K15" i="3" l="1"/>
  <c r="L15" i="3" s="1"/>
  <c r="A16" i="3" s="1"/>
  <c r="G16" i="3" l="1"/>
  <c r="M14" i="3"/>
  <c r="B7" i="8" s="1"/>
  <c r="E7" i="8" s="1"/>
  <c r="H7" i="8" s="1"/>
  <c r="K7" i="8" s="1"/>
  <c r="N7" i="8" s="1"/>
  <c r="Q7" i="8" s="1"/>
  <c r="T7" i="8" s="1"/>
  <c r="W7" i="8" s="1"/>
  <c r="Z7" i="8" s="1"/>
  <c r="AC7" i="8" s="1"/>
  <c r="AF7" i="8" s="1"/>
  <c r="AI7" i="8" s="1"/>
  <c r="AL7" i="8" s="1"/>
  <c r="AO7" i="8" s="1"/>
  <c r="AR7" i="8" s="1"/>
  <c r="AU7" i="8" s="1"/>
  <c r="AX7" i="8" s="1"/>
  <c r="C16" i="3"/>
  <c r="D16" i="3" s="1"/>
  <c r="E16" i="3" l="1"/>
  <c r="H16" i="3" s="1"/>
  <c r="I16" i="3" s="1"/>
  <c r="J16" i="3" s="1"/>
  <c r="K16" i="3" l="1"/>
  <c r="L16" i="3" s="1"/>
  <c r="A17" i="3" s="1"/>
  <c r="G17" i="3" l="1"/>
  <c r="C17" i="3"/>
  <c r="D17" i="3" s="1"/>
  <c r="E17" i="3" l="1"/>
  <c r="H17" i="3" s="1"/>
  <c r="I17" i="3" l="1"/>
  <c r="J17" i="3" s="1"/>
  <c r="K17" i="3" s="1"/>
  <c r="L17" i="3" s="1"/>
  <c r="A18" i="3" s="1"/>
  <c r="G18" i="3" l="1"/>
  <c r="C18" i="3"/>
  <c r="D18" i="3" s="1"/>
  <c r="E18" i="3" l="1"/>
  <c r="H18" i="3" s="1"/>
  <c r="I18" i="3" s="1"/>
  <c r="J18" i="3" s="1"/>
  <c r="K18" i="3" l="1"/>
  <c r="L18" i="3" s="1"/>
  <c r="A19" i="3" s="1"/>
  <c r="G19" i="3" l="1"/>
  <c r="M17" i="3"/>
  <c r="B8" i="8" s="1"/>
  <c r="E8" i="8" s="1"/>
  <c r="H8" i="8" s="1"/>
  <c r="C19" i="3"/>
  <c r="D19" i="3" s="1"/>
  <c r="E19" i="3" l="1"/>
  <c r="H19" i="3" s="1"/>
  <c r="I19" i="3" l="1"/>
  <c r="J19" i="3"/>
  <c r="K19" i="3" s="1"/>
  <c r="L19" i="3" s="1"/>
  <c r="A20" i="3" s="1"/>
  <c r="G20" i="3" l="1"/>
  <c r="C20" i="3"/>
  <c r="D20" i="3" s="1"/>
  <c r="E20" i="3" l="1"/>
  <c r="H20" i="3" l="1"/>
  <c r="I20" i="3" s="1"/>
  <c r="J20" i="3" s="1"/>
  <c r="K20" i="3" s="1"/>
  <c r="L20" i="3" s="1"/>
  <c r="A21" i="3" s="1"/>
  <c r="G21" i="3" l="1"/>
  <c r="C21" i="3"/>
  <c r="D21" i="3" s="1"/>
  <c r="E21" i="3" l="1"/>
  <c r="H21" i="3" s="1"/>
  <c r="I21" i="3" s="1"/>
  <c r="J21" i="3" s="1"/>
  <c r="K21" i="3" l="1"/>
  <c r="L21" i="3" s="1"/>
  <c r="A22" i="3" s="1"/>
  <c r="G22" i="3" l="1"/>
  <c r="M20" i="3"/>
  <c r="C22" i="3"/>
  <c r="D22" i="3" s="1"/>
  <c r="E22" i="3" l="1"/>
  <c r="H22" i="3" s="1"/>
  <c r="I22" i="3" l="1"/>
  <c r="J22" i="3" s="1"/>
  <c r="K22" i="3" s="1"/>
  <c r="L22" i="3" s="1"/>
  <c r="A23" i="3" s="1"/>
  <c r="G23" i="3" l="1"/>
  <c r="C23" i="3"/>
  <c r="D23" i="3" s="1"/>
  <c r="E23" i="3" l="1"/>
  <c r="H23" i="3" s="1"/>
  <c r="I23" i="3" s="1"/>
  <c r="J23" i="3" s="1"/>
  <c r="K23" i="3" l="1"/>
  <c r="L23" i="3" s="1"/>
  <c r="A24" i="3" s="1"/>
  <c r="G24" i="3" l="1"/>
  <c r="C24" i="3"/>
  <c r="D24" i="3" s="1"/>
  <c r="E24" i="3" l="1"/>
  <c r="H24" i="3" s="1"/>
  <c r="I24" i="3" s="1"/>
  <c r="J24" i="3" s="1"/>
  <c r="K24" i="3" l="1"/>
  <c r="L24" i="3" s="1"/>
  <c r="A25" i="3" s="1"/>
  <c r="G25" i="3" l="1"/>
  <c r="M23" i="3"/>
  <c r="C25" i="3"/>
  <c r="D25" i="3" s="1"/>
  <c r="E25" i="3" l="1"/>
  <c r="H25" i="3" s="1"/>
  <c r="I25" i="3" l="1"/>
  <c r="J25" i="3" s="1"/>
  <c r="K25" i="3" s="1"/>
  <c r="L25" i="3" s="1"/>
  <c r="A26" i="3" s="1"/>
  <c r="G26" i="3" l="1"/>
  <c r="C26" i="3"/>
  <c r="D26" i="3" s="1"/>
  <c r="E26" i="3" l="1"/>
  <c r="H26" i="3" s="1"/>
  <c r="I26" i="3" l="1"/>
  <c r="J26" i="3" s="1"/>
  <c r="K26" i="3" s="1"/>
  <c r="L26" i="3" s="1"/>
  <c r="A27" i="3" s="1"/>
  <c r="G27" i="3" l="1"/>
  <c r="C27" i="3"/>
  <c r="D27" i="3" s="1"/>
  <c r="E27" i="3" l="1"/>
  <c r="H27" i="3" s="1"/>
  <c r="I27" i="3" l="1"/>
  <c r="J27" i="3" s="1"/>
  <c r="K27" i="3" l="1"/>
  <c r="L27" i="3"/>
  <c r="A28" i="3" s="1"/>
  <c r="C28" i="3" s="1"/>
  <c r="D28" i="3" s="1"/>
  <c r="M26" i="3" l="1"/>
  <c r="G28" i="3"/>
  <c r="E28" i="3"/>
  <c r="H28" i="3" l="1"/>
  <c r="I28" i="3" s="1"/>
  <c r="J28" i="3" s="1"/>
  <c r="K28" i="3" s="1"/>
  <c r="L28" i="3" s="1"/>
  <c r="A29" i="3" s="1"/>
  <c r="G29" i="3" l="1"/>
  <c r="C29" i="3"/>
  <c r="D29" i="3" s="1"/>
  <c r="E29" i="3" l="1"/>
  <c r="H29" i="3" s="1"/>
  <c r="I29" i="3" l="1"/>
  <c r="J29" i="3" s="1"/>
  <c r="K29" i="3" l="1"/>
  <c r="L29" i="3"/>
  <c r="A30" i="3" s="1"/>
  <c r="C30" i="3" s="1"/>
  <c r="D30" i="3" s="1"/>
  <c r="G30" i="3" l="1"/>
  <c r="E30" i="3"/>
  <c r="H30" i="3" s="1"/>
  <c r="I30" i="3" l="1"/>
  <c r="J30" i="3" s="1"/>
  <c r="K30" i="3" s="1"/>
  <c r="L30" i="3" l="1"/>
  <c r="A31" i="3" s="1"/>
  <c r="G31" i="3" l="1"/>
  <c r="M29" i="3"/>
  <c r="C31" i="3"/>
  <c r="D31" i="3" s="1"/>
  <c r="E31" i="3" l="1"/>
  <c r="H31" i="3" s="1"/>
  <c r="I31" i="3" l="1"/>
  <c r="J31" i="3" s="1"/>
  <c r="K31" i="3" l="1"/>
  <c r="L31" i="3" s="1"/>
  <c r="A32" i="3" s="1"/>
  <c r="G32" i="3" l="1"/>
  <c r="C32" i="3"/>
  <c r="D32" i="3" s="1"/>
  <c r="E32" i="3"/>
  <c r="H32" i="3" l="1"/>
  <c r="I32" i="3" s="1"/>
  <c r="J32" i="3" s="1"/>
  <c r="K32" i="3" s="1"/>
  <c r="L32" i="3" l="1"/>
  <c r="A33" i="3" s="1"/>
  <c r="G33" i="3" l="1"/>
  <c r="C33" i="3"/>
  <c r="D33" i="3" s="1"/>
  <c r="E33" i="3" l="1"/>
  <c r="H33" i="3" s="1"/>
  <c r="I33" i="3" l="1"/>
  <c r="J33" i="3" s="1"/>
  <c r="K33" i="3" l="1"/>
  <c r="L33" i="3" s="1"/>
  <c r="A34" i="3" s="1"/>
  <c r="G34" i="3" l="1"/>
  <c r="M32" i="3"/>
  <c r="C34" i="3"/>
  <c r="D34" i="3" s="1"/>
  <c r="E34" i="3" l="1"/>
  <c r="H34" i="3" s="1"/>
  <c r="I34" i="3" l="1"/>
  <c r="J34" i="3" s="1"/>
  <c r="K34" i="3" l="1"/>
  <c r="L34" i="3" s="1"/>
  <c r="A35" i="3" s="1"/>
  <c r="G35" i="3" l="1"/>
  <c r="C35" i="3"/>
  <c r="D35" i="3" s="1"/>
  <c r="E35" i="3" l="1"/>
  <c r="H35" i="3" s="1"/>
  <c r="I35" i="3" s="1"/>
  <c r="J35" i="3" s="1"/>
  <c r="K35" i="3" l="1"/>
  <c r="L35" i="3" s="1"/>
  <c r="A36" i="3" s="1"/>
  <c r="G36" i="3" l="1"/>
  <c r="C36" i="3"/>
  <c r="D36" i="3" s="1"/>
  <c r="E36" i="3" l="1"/>
  <c r="H36" i="3" s="1"/>
  <c r="I36" i="3" l="1"/>
  <c r="J36" i="3" s="1"/>
  <c r="K36" i="3" l="1"/>
  <c r="L36" i="3" s="1"/>
  <c r="A37" i="3" s="1"/>
  <c r="G37" i="3" l="1"/>
  <c r="M35" i="3"/>
  <c r="C37" i="3"/>
  <c r="D37" i="3" s="1"/>
  <c r="E37" i="3" l="1"/>
  <c r="H37" i="3" s="1"/>
  <c r="I37" i="3" s="1"/>
  <c r="J37" i="3" s="1"/>
  <c r="K37" i="3" l="1"/>
  <c r="L37" i="3" s="1"/>
  <c r="A38" i="3" s="1"/>
  <c r="G38" i="3" l="1"/>
  <c r="C38" i="3"/>
  <c r="D38" i="3" s="1"/>
  <c r="E38" i="3" l="1"/>
  <c r="H38" i="3" s="1"/>
  <c r="I38" i="3" l="1"/>
  <c r="J38" i="3" s="1"/>
  <c r="K38" i="3" s="1"/>
  <c r="L38" i="3" s="1"/>
  <c r="A39" i="3" s="1"/>
  <c r="G39" i="3" l="1"/>
  <c r="C39" i="3"/>
  <c r="D39" i="3" s="1"/>
  <c r="E39" i="3" l="1"/>
  <c r="H39" i="3" s="1"/>
  <c r="I39" i="3" s="1"/>
  <c r="J39" i="3" s="1"/>
  <c r="K39" i="3" l="1"/>
  <c r="L39" i="3" s="1"/>
  <c r="A40" i="3" s="1"/>
  <c r="G40" i="3" l="1"/>
  <c r="M38" i="3"/>
  <c r="C40" i="3"/>
  <c r="D40" i="3" s="1"/>
  <c r="E40" i="3"/>
  <c r="H40" i="3" l="1"/>
  <c r="I40" i="3" s="1"/>
  <c r="J40" i="3" s="1"/>
  <c r="K40" i="3" l="1"/>
  <c r="L40" i="3" s="1"/>
  <c r="A41" i="3" s="1"/>
  <c r="G41" i="3" l="1"/>
  <c r="C41" i="3"/>
  <c r="D41" i="3" s="1"/>
  <c r="E41" i="3" l="1"/>
  <c r="H41" i="3" s="1"/>
  <c r="I41" i="3" l="1"/>
  <c r="J41" i="3" s="1"/>
  <c r="K41" i="3" s="1"/>
  <c r="L41" i="3" s="1"/>
  <c r="A42" i="3" s="1"/>
  <c r="G42" i="3" l="1"/>
  <c r="C42" i="3"/>
  <c r="D42" i="3" s="1"/>
  <c r="E42" i="3" l="1"/>
  <c r="H42" i="3" s="1"/>
  <c r="I42" i="3" l="1"/>
  <c r="J42" i="3" s="1"/>
  <c r="K42" i="3" s="1"/>
  <c r="L42" i="3" s="1"/>
  <c r="A43" i="3" s="1"/>
  <c r="G43" i="3" l="1"/>
  <c r="M41" i="3"/>
  <c r="C43" i="3"/>
  <c r="D43" i="3" s="1"/>
  <c r="E43" i="3" l="1"/>
  <c r="H43" i="3"/>
  <c r="I43" i="3" s="1"/>
  <c r="J43" i="3" s="1"/>
  <c r="K43" i="3" l="1"/>
  <c r="L43" i="3" s="1"/>
  <c r="A44" i="3" s="1"/>
  <c r="G44" i="3" l="1"/>
  <c r="C44" i="3"/>
  <c r="D44" i="3" s="1"/>
  <c r="E44" i="3"/>
  <c r="H44" i="3" l="1"/>
  <c r="I44" i="3" s="1"/>
  <c r="J44" i="3" s="1"/>
  <c r="K44" i="3" s="1"/>
  <c r="L44" i="3" l="1"/>
  <c r="A45" i="3" s="1"/>
  <c r="G45" i="3" l="1"/>
  <c r="C45" i="3"/>
  <c r="D45" i="3" s="1"/>
  <c r="E45" i="3" l="1"/>
  <c r="H45" i="3" s="1"/>
  <c r="I45" i="3" l="1"/>
  <c r="J45" i="3" s="1"/>
  <c r="K45" i="3" l="1"/>
  <c r="L45" i="3" s="1"/>
  <c r="A46" i="3" s="1"/>
  <c r="G46" i="3" l="1"/>
  <c r="M44" i="3"/>
  <c r="C46" i="3"/>
  <c r="D46" i="3" s="1"/>
  <c r="E46" i="3" l="1"/>
  <c r="H46" i="3" s="1"/>
  <c r="I46" i="3" s="1"/>
  <c r="J46" i="3" s="1"/>
  <c r="K46" i="3" s="1"/>
  <c r="L46" i="3" l="1"/>
  <c r="A47" i="3" s="1"/>
  <c r="G47" i="3" l="1"/>
  <c r="C47" i="3"/>
  <c r="D47" i="3" s="1"/>
  <c r="E47" i="3"/>
  <c r="H47" i="3" l="1"/>
  <c r="I47" i="3" l="1"/>
  <c r="J47" i="3" s="1"/>
  <c r="K47" i="3" l="1"/>
  <c r="L47" i="3" s="1"/>
  <c r="A48" i="3" s="1"/>
  <c r="G48" i="3" l="1"/>
  <c r="C48" i="3"/>
  <c r="D48" i="3" s="1"/>
  <c r="E48" i="3" l="1"/>
  <c r="H48" i="3"/>
  <c r="I48" i="3" s="1"/>
  <c r="J48" i="3" l="1"/>
  <c r="K48" i="3" l="1"/>
  <c r="L48" i="3" s="1"/>
  <c r="A49" i="3" s="1"/>
  <c r="G49" i="3" l="1"/>
  <c r="M47" i="3"/>
  <c r="C49" i="3"/>
  <c r="D49" i="3" s="1"/>
  <c r="E49" i="3"/>
  <c r="H49" i="3" l="1"/>
  <c r="I49" i="3" s="1"/>
  <c r="J49" i="3" s="1"/>
  <c r="K49" i="3" l="1"/>
  <c r="L49" i="3" s="1"/>
  <c r="A50" i="3" s="1"/>
  <c r="G50" i="3" l="1"/>
  <c r="C50" i="3"/>
  <c r="D50" i="3" s="1"/>
  <c r="E50" i="3"/>
  <c r="H50" i="3" l="1"/>
  <c r="I50" i="3" s="1"/>
  <c r="J50" i="3" s="1"/>
  <c r="K50" i="3" s="1"/>
  <c r="L50" i="3" l="1"/>
  <c r="A51" i="3" s="1"/>
  <c r="C51" i="3" s="1"/>
  <c r="D51" i="3" l="1"/>
  <c r="E51" i="3"/>
  <c r="G51" i="3"/>
  <c r="H51" i="3" l="1"/>
  <c r="I51" i="3" s="1"/>
  <c r="J51" i="3" l="1"/>
  <c r="K51" i="3" l="1"/>
  <c r="L51" i="3" s="1"/>
  <c r="A52" i="3" s="1"/>
  <c r="G52" i="3" l="1"/>
  <c r="M50" i="3"/>
  <c r="C52" i="3"/>
  <c r="D52" i="3" s="1"/>
  <c r="E52" i="3" l="1"/>
  <c r="H52" i="3" s="1"/>
  <c r="I52" i="3" l="1"/>
  <c r="J52" i="3" s="1"/>
  <c r="K52" i="3" s="1"/>
  <c r="L52" i="3" s="1"/>
  <c r="A53" i="3" s="1"/>
  <c r="G53" i="3" l="1"/>
  <c r="C53" i="3"/>
  <c r="D53" i="3" s="1"/>
  <c r="E53" i="3" l="1"/>
  <c r="H53" i="3" s="1"/>
  <c r="I53" i="3" l="1"/>
  <c r="J53" i="3" s="1"/>
  <c r="K53" i="3" s="1"/>
  <c r="L53" i="3" s="1"/>
  <c r="A54" i="3" s="1"/>
  <c r="G54" i="3" l="1"/>
  <c r="C54" i="3"/>
  <c r="D54" i="3" s="1"/>
  <c r="E54" i="3" l="1"/>
  <c r="H54" i="3"/>
  <c r="I54" i="3" s="1"/>
  <c r="J54" i="3" s="1"/>
  <c r="K54" i="3" s="1"/>
  <c r="L54" i="3" s="1"/>
  <c r="A55" i="3" s="1"/>
  <c r="G55" i="3" l="1"/>
  <c r="M53" i="3"/>
  <c r="C55" i="3"/>
  <c r="D55" i="3" s="1"/>
  <c r="E55" i="3"/>
  <c r="H55" i="3" l="1"/>
  <c r="I55" i="3" s="1"/>
  <c r="J55" i="3" s="1"/>
  <c r="K55" i="3" s="1"/>
  <c r="L55" i="3" l="1"/>
  <c r="A56" i="3" s="1"/>
  <c r="C56" i="3" s="1"/>
  <c r="D56" i="3" s="1"/>
  <c r="E56" i="3" l="1"/>
  <c r="G56" i="3"/>
  <c r="H56" i="3" l="1"/>
  <c r="I56" i="3" s="1"/>
  <c r="J56" i="3" s="1"/>
  <c r="K56" i="3" l="1"/>
  <c r="L56" i="3" s="1"/>
  <c r="A57" i="3" s="1"/>
  <c r="G57" i="3" l="1"/>
  <c r="C57" i="3"/>
  <c r="D57" i="3" s="1"/>
  <c r="E57" i="3" l="1"/>
  <c r="H57" i="3" s="1"/>
  <c r="I57" i="3" s="1"/>
  <c r="J57" i="3" s="1"/>
  <c r="K57" i="3" s="1"/>
  <c r="L57" i="3" l="1"/>
  <c r="A58" i="3" s="1"/>
  <c r="G58" i="3" l="1"/>
  <c r="M56" i="3"/>
  <c r="C58" i="3"/>
  <c r="D58" i="3" s="1"/>
  <c r="E58" i="3"/>
  <c r="H58" i="3" l="1"/>
  <c r="I58" i="3" l="1"/>
  <c r="J58" i="3" s="1"/>
  <c r="K58" i="3" s="1"/>
  <c r="L58" i="3" l="1"/>
  <c r="A59" i="3" s="1"/>
  <c r="G59" i="3" l="1"/>
  <c r="C59" i="3"/>
  <c r="D59" i="3" s="1"/>
  <c r="E59" i="3"/>
  <c r="H59" i="3" l="1"/>
  <c r="I59" i="3" l="1"/>
  <c r="J59" i="3" s="1"/>
  <c r="K59" i="3" s="1"/>
  <c r="L59" i="3" l="1"/>
  <c r="A60" i="3" s="1"/>
  <c r="G60" i="3" l="1"/>
  <c r="C60" i="3"/>
  <c r="D60" i="3" s="1"/>
  <c r="E60" i="3" l="1"/>
  <c r="H60" i="3" s="1"/>
  <c r="I60" i="3" l="1"/>
  <c r="J60" i="3" s="1"/>
  <c r="K60" i="3" s="1"/>
  <c r="L60" i="3" l="1"/>
  <c r="A61" i="3" s="1"/>
  <c r="G61" i="3" l="1"/>
  <c r="M59" i="3"/>
  <c r="C61" i="3"/>
  <c r="D61" i="3" s="1"/>
  <c r="E61" i="3" l="1"/>
  <c r="H61" i="3" s="1"/>
  <c r="I61" i="3" l="1"/>
  <c r="J61" i="3" s="1"/>
  <c r="K61" i="3" l="1"/>
  <c r="L61" i="3" s="1"/>
  <c r="A62" i="3" s="1"/>
  <c r="G62" i="3" l="1"/>
  <c r="C62" i="3"/>
  <c r="D62" i="3" s="1"/>
  <c r="E62" i="3"/>
  <c r="H62" i="3" l="1"/>
  <c r="I62" i="3"/>
  <c r="J62" i="3" s="1"/>
  <c r="K62" i="3" l="1"/>
  <c r="L62" i="3" s="1"/>
  <c r="A63" i="3" s="1"/>
  <c r="G63" i="3" l="1"/>
  <c r="C63" i="3"/>
  <c r="D63" i="3" s="1"/>
  <c r="E63" i="3"/>
  <c r="H63" i="3" l="1"/>
  <c r="I63" i="3" s="1"/>
  <c r="J63" i="3" s="1"/>
  <c r="K63" i="3" l="1"/>
  <c r="L63" i="3" s="1"/>
  <c r="A64" i="3" s="1"/>
  <c r="G64" i="3" l="1"/>
  <c r="M62" i="3"/>
  <c r="C64" i="3"/>
  <c r="D64" i="3" s="1"/>
  <c r="E64" i="3" l="1"/>
  <c r="H64" i="3" s="1"/>
  <c r="I64" i="3" l="1"/>
  <c r="J64" i="3" s="1"/>
  <c r="K64" i="3" l="1"/>
  <c r="L64" i="3" s="1"/>
  <c r="A65" i="3" s="1"/>
  <c r="G65" i="3" l="1"/>
  <c r="C65" i="3"/>
  <c r="D65" i="3" s="1"/>
  <c r="E65" i="3" l="1"/>
  <c r="H65" i="3" s="1"/>
  <c r="I65" i="3" l="1"/>
  <c r="J65" i="3" s="1"/>
  <c r="K65" i="3" s="1"/>
  <c r="L65" i="3" s="1"/>
  <c r="A66" i="3" s="1"/>
  <c r="G66" i="3" l="1"/>
  <c r="C66" i="3"/>
  <c r="D66" i="3" s="1"/>
  <c r="E66" i="3" l="1"/>
  <c r="H66" i="3" s="1"/>
  <c r="I66" i="3" l="1"/>
  <c r="J66" i="3" s="1"/>
  <c r="K66" i="3" s="1"/>
  <c r="L66" i="3" s="1"/>
  <c r="A67" i="3" s="1"/>
  <c r="G67" i="3" l="1"/>
  <c r="M65" i="3"/>
  <c r="C67" i="3"/>
  <c r="D67" i="3" s="1"/>
  <c r="E67" i="3"/>
  <c r="H67" i="3" l="1"/>
  <c r="I67" i="3" s="1"/>
  <c r="J67" i="3" s="1"/>
  <c r="K67" i="3" l="1"/>
  <c r="L67" i="3" s="1"/>
  <c r="A68" i="3" s="1"/>
  <c r="G68" i="3" l="1"/>
  <c r="C68" i="3"/>
  <c r="D68" i="3" s="1"/>
  <c r="E68" i="3" l="1"/>
  <c r="H68" i="3" s="1"/>
  <c r="I68" i="3" l="1"/>
  <c r="J68" i="3" s="1"/>
  <c r="K68" i="3" s="1"/>
  <c r="L68" i="3" s="1"/>
  <c r="A69" i="3" s="1"/>
  <c r="G69" i="3" l="1"/>
  <c r="C69" i="3"/>
  <c r="D69" i="3" s="1"/>
  <c r="E69" i="3" l="1"/>
  <c r="H69" i="3" s="1"/>
  <c r="I69" i="3" s="1"/>
  <c r="J69" i="3" s="1"/>
  <c r="K69" i="3" s="1"/>
  <c r="L69" i="3" s="1"/>
  <c r="A70" i="3" s="1"/>
  <c r="G70" i="3" l="1"/>
  <c r="M68" i="3"/>
  <c r="C70" i="3"/>
  <c r="D70" i="3" s="1"/>
  <c r="E70" i="3"/>
  <c r="H70" i="3" l="1"/>
  <c r="I70" i="3" s="1"/>
  <c r="J70" i="3" l="1"/>
  <c r="K70" i="3" l="1"/>
  <c r="L70" i="3" s="1"/>
  <c r="A71" i="3" s="1"/>
  <c r="G71" i="3" l="1"/>
  <c r="C71" i="3"/>
  <c r="D71" i="3" s="1"/>
  <c r="E71" i="3"/>
  <c r="H71" i="3" l="1"/>
  <c r="I71" i="3"/>
  <c r="J71" i="3" s="1"/>
  <c r="K71" i="3" l="1"/>
  <c r="L71" i="3" s="1"/>
  <c r="A72" i="3" s="1"/>
  <c r="G72" i="3" l="1"/>
  <c r="C72" i="3"/>
  <c r="D72" i="3" s="1"/>
  <c r="E72" i="3"/>
  <c r="H72" i="3" l="1"/>
  <c r="I72" i="3" s="1"/>
  <c r="J72" i="3" s="1"/>
  <c r="K72" i="3" l="1"/>
  <c r="L72" i="3" s="1"/>
  <c r="A73" i="3" s="1"/>
  <c r="G73" i="3" l="1"/>
  <c r="M71" i="3"/>
  <c r="C73" i="3"/>
  <c r="D73" i="3" s="1"/>
  <c r="E73" i="3" l="1"/>
  <c r="H73" i="3" l="1"/>
  <c r="I73" i="3" s="1"/>
  <c r="J73" i="3" s="1"/>
  <c r="K73" i="3" s="1"/>
  <c r="L73" i="3" s="1"/>
  <c r="A74" i="3" s="1"/>
  <c r="G74" i="3" l="1"/>
  <c r="C74" i="3"/>
  <c r="D74" i="3" s="1"/>
  <c r="E74" i="3"/>
  <c r="H74" i="3" l="1"/>
  <c r="I74" i="3" s="1"/>
  <c r="J74" i="3" s="1"/>
  <c r="K74" i="3" l="1"/>
  <c r="L74" i="3" s="1"/>
  <c r="A75" i="3" s="1"/>
  <c r="G75" i="3" l="1"/>
  <c r="C75" i="3"/>
  <c r="D75" i="3" s="1"/>
  <c r="E75" i="3" l="1"/>
  <c r="H75" i="3" s="1"/>
  <c r="I75" i="3" l="1"/>
  <c r="J75" i="3" s="1"/>
  <c r="K75" i="3" s="1"/>
  <c r="L75" i="3" s="1"/>
  <c r="A76" i="3" s="1"/>
  <c r="G76" i="3" l="1"/>
  <c r="M74" i="3"/>
  <c r="C76" i="3"/>
  <c r="D76" i="3" s="1"/>
  <c r="E76" i="3" l="1"/>
  <c r="H76" i="3" s="1"/>
  <c r="I76" i="3" l="1"/>
  <c r="J76" i="3" s="1"/>
  <c r="K76" i="3" s="1"/>
  <c r="L76" i="3" s="1"/>
  <c r="A77" i="3" s="1"/>
  <c r="G77" i="3" l="1"/>
  <c r="C77" i="3"/>
  <c r="D77" i="3" s="1"/>
  <c r="E77" i="3" l="1"/>
  <c r="H77" i="3" s="1"/>
  <c r="I77" i="3" l="1"/>
  <c r="J77" i="3" s="1"/>
  <c r="K77" i="3" s="1"/>
  <c r="L77" i="3" s="1"/>
  <c r="A78" i="3" s="1"/>
  <c r="G78" i="3" l="1"/>
  <c r="C78" i="3"/>
  <c r="D78" i="3" s="1"/>
  <c r="E78" i="3"/>
  <c r="H78" i="3" l="1"/>
  <c r="I78" i="3" s="1"/>
  <c r="J78" i="3" s="1"/>
  <c r="K78" i="3" l="1"/>
  <c r="L78" i="3" s="1"/>
  <c r="A79" i="3" s="1"/>
  <c r="G79" i="3" l="1"/>
  <c r="M77" i="3"/>
  <c r="C79" i="3"/>
  <c r="D79" i="3" s="1"/>
  <c r="E79" i="3" l="1"/>
  <c r="H79" i="3" s="1"/>
  <c r="I79" i="3" l="1"/>
  <c r="J79" i="3" s="1"/>
  <c r="K79" i="3" s="1"/>
  <c r="L79" i="3" s="1"/>
  <c r="A80" i="3" s="1"/>
  <c r="G80" i="3" l="1"/>
  <c r="C80" i="3"/>
  <c r="D80" i="3" s="1"/>
  <c r="E80" i="3"/>
  <c r="H80" i="3" l="1"/>
  <c r="I80" i="3" s="1"/>
  <c r="J80" i="3" s="1"/>
  <c r="K80" i="3" l="1"/>
  <c r="L80" i="3" s="1"/>
  <c r="A81" i="3" s="1"/>
  <c r="G81" i="3" l="1"/>
  <c r="C81" i="3"/>
  <c r="D81" i="3" s="1"/>
  <c r="E81" i="3" l="1"/>
  <c r="H81" i="3"/>
  <c r="I81" i="3" s="1"/>
  <c r="J81" i="3" s="1"/>
  <c r="K81" i="3" l="1"/>
  <c r="L81" i="3" s="1"/>
  <c r="A82" i="3" s="1"/>
  <c r="G82" i="3" l="1"/>
  <c r="M80" i="3"/>
  <c r="C82" i="3"/>
  <c r="D82" i="3" s="1"/>
  <c r="E82" i="3" l="1"/>
  <c r="H82" i="3" s="1"/>
  <c r="I82" i="3" l="1"/>
  <c r="J82" i="3" s="1"/>
  <c r="K82" i="3" s="1"/>
  <c r="L82" i="3" s="1"/>
  <c r="A83" i="3" s="1"/>
  <c r="G83" i="3" l="1"/>
  <c r="C83" i="3"/>
  <c r="D83" i="3" s="1"/>
  <c r="E83" i="3" l="1"/>
  <c r="H83" i="3" s="1"/>
  <c r="I83" i="3" s="1"/>
  <c r="J83" i="3" s="1"/>
  <c r="K83" i="3" s="1"/>
  <c r="L83" i="3" s="1"/>
  <c r="A84" i="3" s="1"/>
  <c r="G84" i="3" l="1"/>
  <c r="C84" i="3"/>
  <c r="D84" i="3" s="1"/>
  <c r="E84" i="3" l="1"/>
  <c r="H84" i="3" s="1"/>
  <c r="I84" i="3" l="1"/>
  <c r="J84" i="3" s="1"/>
  <c r="K84" i="3" s="1"/>
  <c r="L84" i="3" s="1"/>
  <c r="A85" i="3" s="1"/>
  <c r="G85" i="3" l="1"/>
  <c r="M83" i="3"/>
  <c r="C85" i="3"/>
  <c r="D85" i="3" s="1"/>
  <c r="E85" i="3" l="1"/>
  <c r="H85" i="3" s="1"/>
  <c r="I85" i="3" l="1"/>
  <c r="J85" i="3" s="1"/>
  <c r="K85" i="3" s="1"/>
  <c r="L85" i="3" s="1"/>
  <c r="A86" i="3" s="1"/>
  <c r="G86" i="3" l="1"/>
  <c r="C86" i="3"/>
  <c r="D86" i="3" s="1"/>
  <c r="E86" i="3" l="1"/>
  <c r="H86" i="3" s="1"/>
  <c r="I86" i="3" l="1"/>
  <c r="J86" i="3" s="1"/>
  <c r="K86" i="3" s="1"/>
  <c r="L86" i="3" s="1"/>
  <c r="A87" i="3" s="1"/>
  <c r="C87" i="3" l="1"/>
  <c r="D87" i="3" s="1"/>
  <c r="G87" i="3"/>
  <c r="E87" i="3" l="1"/>
  <c r="H87" i="3" s="1"/>
  <c r="I87" i="3" s="1"/>
  <c r="J87" i="3" s="1"/>
  <c r="K87" i="3" l="1"/>
  <c r="L87" i="3" s="1"/>
  <c r="A88" i="3" s="1"/>
  <c r="G88" i="3" l="1"/>
  <c r="M86" i="3"/>
  <c r="C88" i="3"/>
  <c r="D88" i="3" s="1"/>
  <c r="E88" i="3" l="1"/>
  <c r="H88" i="3" s="1"/>
  <c r="I88" i="3" l="1"/>
  <c r="J88" i="3" s="1"/>
  <c r="K88" i="3" s="1"/>
  <c r="L88" i="3" s="1"/>
  <c r="A89" i="3" s="1"/>
  <c r="G89" i="3" l="1"/>
  <c r="C89" i="3"/>
  <c r="D89" i="3" s="1"/>
  <c r="E89" i="3" l="1"/>
  <c r="H89" i="3" s="1"/>
  <c r="I89" i="3" s="1"/>
  <c r="J89" i="3" l="1"/>
  <c r="K89" i="3" l="1"/>
  <c r="L89" i="3" s="1"/>
  <c r="A90" i="3" s="1"/>
  <c r="G90" i="3" l="1"/>
  <c r="C90" i="3"/>
  <c r="D90" i="3" s="1"/>
  <c r="E90" i="3" l="1"/>
  <c r="H90" i="3" s="1"/>
  <c r="I90" i="3" l="1"/>
  <c r="J90" i="3" s="1"/>
  <c r="K90" i="3" s="1"/>
  <c r="L90" i="3" s="1"/>
  <c r="A91" i="3" s="1"/>
  <c r="G91" i="3" l="1"/>
  <c r="M89" i="3"/>
  <c r="C91" i="3"/>
  <c r="D91" i="3" s="1"/>
  <c r="E91" i="3"/>
  <c r="H91" i="3" l="1"/>
  <c r="I91" i="3" s="1"/>
  <c r="J91" i="3" s="1"/>
  <c r="K91" i="3" l="1"/>
  <c r="L91" i="3" s="1"/>
  <c r="A92" i="3" s="1"/>
  <c r="G92" i="3" l="1"/>
  <c r="C92" i="3"/>
  <c r="D92" i="3" s="1"/>
  <c r="E92" i="3"/>
  <c r="H92" i="3" l="1"/>
  <c r="I92" i="3" s="1"/>
  <c r="J92" i="3" s="1"/>
  <c r="K92" i="3" l="1"/>
  <c r="L92" i="3" s="1"/>
  <c r="A93" i="3" s="1"/>
  <c r="C93" i="3" l="1"/>
  <c r="D93" i="3" s="1"/>
  <c r="G93" i="3"/>
  <c r="E93" i="3"/>
  <c r="H93" i="3" l="1"/>
  <c r="I93" i="3" s="1"/>
  <c r="J93" i="3" s="1"/>
  <c r="K93" i="3" l="1"/>
  <c r="L93" i="3" s="1"/>
  <c r="A94" i="3" s="1"/>
  <c r="G94" i="3" l="1"/>
  <c r="M92" i="3"/>
  <c r="C94" i="3"/>
  <c r="D94" i="3" s="1"/>
  <c r="E94" i="3" l="1"/>
  <c r="H94" i="3" s="1"/>
  <c r="I94" i="3" l="1"/>
  <c r="J94" i="3" s="1"/>
  <c r="K94" i="3" s="1"/>
  <c r="L94" i="3" s="1"/>
  <c r="A95" i="3" s="1"/>
  <c r="G95" i="3" l="1"/>
  <c r="C95" i="3"/>
  <c r="D95" i="3" s="1"/>
  <c r="E95" i="3"/>
  <c r="H95" i="3" l="1"/>
  <c r="I95" i="3" s="1"/>
  <c r="J95" i="3" s="1"/>
  <c r="K95" i="3" l="1"/>
  <c r="L95" i="3" s="1"/>
  <c r="A96" i="3" s="1"/>
  <c r="G96" i="3" l="1"/>
  <c r="C96" i="3"/>
  <c r="D96" i="3" s="1"/>
  <c r="E96" i="3" l="1"/>
  <c r="H96" i="3"/>
  <c r="I96" i="3"/>
  <c r="J96" i="3" s="1"/>
  <c r="K96" i="3" l="1"/>
  <c r="L96" i="3" s="1"/>
  <c r="A97" i="3" s="1"/>
  <c r="G97" i="3" l="1"/>
  <c r="M95" i="3"/>
  <c r="C97" i="3"/>
  <c r="D97" i="3" s="1"/>
  <c r="E97" i="3"/>
  <c r="H97" i="3" l="1"/>
  <c r="I97" i="3"/>
  <c r="J97" i="3" s="1"/>
  <c r="K97" i="3" l="1"/>
  <c r="L97" i="3" s="1"/>
  <c r="A98" i="3" s="1"/>
  <c r="G98" i="3" l="1"/>
  <c r="C98" i="3"/>
  <c r="D98" i="3" s="1"/>
  <c r="E98" i="3" l="1"/>
  <c r="H98" i="3" s="1"/>
  <c r="I98" i="3" l="1"/>
  <c r="J98" i="3" s="1"/>
  <c r="K98" i="3" s="1"/>
  <c r="L98" i="3" s="1"/>
  <c r="A99" i="3" s="1"/>
  <c r="G99" i="3" l="1"/>
  <c r="C99" i="3"/>
  <c r="D99" i="3" s="1"/>
  <c r="E99" i="3"/>
  <c r="H99" i="3" l="1"/>
  <c r="I99" i="3" l="1"/>
  <c r="J99" i="3" s="1"/>
  <c r="K99" i="3" s="1"/>
  <c r="L99" i="3" s="1"/>
  <c r="A100" i="3" s="1"/>
  <c r="G100" i="3" l="1"/>
  <c r="C100" i="3"/>
  <c r="D100" i="3" s="1"/>
  <c r="E100" i="3"/>
  <c r="M98" i="3"/>
  <c r="H100" i="3" l="1"/>
  <c r="I100" i="3" s="1"/>
  <c r="J100" i="3" l="1"/>
  <c r="K100" i="3" s="1"/>
  <c r="L100" i="3" s="1"/>
  <c r="A101" i="3" s="1"/>
  <c r="G101" i="3" s="1"/>
  <c r="C101" i="3" l="1"/>
  <c r="D101" i="3" s="1"/>
  <c r="E101" i="3" l="1"/>
  <c r="H101" i="3" s="1"/>
  <c r="I101" i="3" s="1"/>
  <c r="J101" i="3" s="1"/>
  <c r="K101" i="3" s="1"/>
  <c r="L101" i="3" s="1"/>
  <c r="A102" i="3" s="1"/>
  <c r="G102" i="3" l="1"/>
  <c r="C102" i="3"/>
  <c r="D102" i="3" s="1"/>
  <c r="E102" i="3" l="1"/>
  <c r="H102" i="3" s="1"/>
  <c r="I102" i="3" l="1"/>
  <c r="J102" i="3" s="1"/>
  <c r="K102" i="3" s="1"/>
  <c r="L102" i="3" s="1"/>
  <c r="A103" i="3" s="1"/>
  <c r="G103" i="3" l="1"/>
  <c r="M101" i="3"/>
  <c r="C103" i="3"/>
  <c r="D103" i="3" s="1"/>
  <c r="E103" i="3"/>
  <c r="H103" i="3" l="1"/>
  <c r="I103" i="3" s="1"/>
  <c r="J103" i="3" s="1"/>
  <c r="K103" i="3" l="1"/>
  <c r="L103" i="3" s="1"/>
  <c r="A104" i="3" s="1"/>
  <c r="G104" i="3" l="1"/>
  <c r="C104" i="3"/>
  <c r="D104" i="3" s="1"/>
  <c r="E104" i="3"/>
  <c r="H104" i="3" l="1"/>
  <c r="I104" i="3" s="1"/>
  <c r="J104" i="3" l="1"/>
  <c r="K104" i="3" s="1"/>
  <c r="L104" i="3" s="1"/>
  <c r="A105" i="3" s="1"/>
  <c r="G105" i="3" s="1"/>
  <c r="C105" i="3" l="1"/>
  <c r="D105" i="3" s="1"/>
  <c r="E105" i="3" l="1"/>
  <c r="H105" i="3" s="1"/>
  <c r="I105" i="3" s="1"/>
  <c r="J105" i="3" s="1"/>
  <c r="K105" i="3" s="1"/>
  <c r="L105" i="3" s="1"/>
  <c r="A106" i="3" s="1"/>
  <c r="C106" i="3" l="1"/>
  <c r="D106" i="3" s="1"/>
  <c r="G106" i="3"/>
  <c r="M104" i="3"/>
  <c r="E106" i="3" l="1"/>
  <c r="H106" i="3" s="1"/>
  <c r="I106" i="3" s="1"/>
  <c r="J106" i="3" s="1"/>
  <c r="K106" i="3" s="1"/>
  <c r="L106" i="3" s="1"/>
  <c r="A107" i="3" s="1"/>
  <c r="G107" i="3" l="1"/>
  <c r="C107" i="3"/>
  <c r="D107" i="3" s="1"/>
  <c r="E107" i="3"/>
  <c r="H107" i="3" l="1"/>
  <c r="I107" i="3" l="1"/>
  <c r="J107" i="3" s="1"/>
  <c r="K107" i="3" s="1"/>
  <c r="L107" i="3" s="1"/>
  <c r="A108" i="3" s="1"/>
  <c r="G108" i="3" l="1"/>
  <c r="C108" i="3"/>
  <c r="D108" i="3" s="1"/>
  <c r="E108" i="3" l="1"/>
  <c r="H108" i="3" s="1"/>
  <c r="I108" i="3" l="1"/>
  <c r="J108" i="3" s="1"/>
  <c r="K108" i="3" s="1"/>
  <c r="L108" i="3" s="1"/>
  <c r="A109" i="3" s="1"/>
  <c r="G109" i="3" l="1"/>
  <c r="M107" i="3"/>
  <c r="C109" i="3"/>
  <c r="D109" i="3" s="1"/>
  <c r="E109" i="3"/>
  <c r="H109" i="3" l="1"/>
  <c r="I109" i="3" s="1"/>
  <c r="J109" i="3" s="1"/>
  <c r="K109" i="3"/>
  <c r="L109" i="3" s="1"/>
  <c r="A110" i="3" s="1"/>
  <c r="G110" i="3" l="1"/>
  <c r="C110" i="3"/>
  <c r="D110" i="3" s="1"/>
  <c r="E110" i="3" l="1"/>
  <c r="H110" i="3" s="1"/>
  <c r="I110" i="3" s="1"/>
  <c r="J110" i="3" s="1"/>
  <c r="K110" i="3" l="1"/>
  <c r="L110" i="3" s="1"/>
  <c r="A111" i="3" s="1"/>
  <c r="G111" i="3" l="1"/>
  <c r="C111" i="3"/>
  <c r="D111" i="3" s="1"/>
  <c r="E111" i="3" l="1"/>
  <c r="H111" i="3"/>
  <c r="I111" i="3" l="1"/>
  <c r="J111" i="3" s="1"/>
  <c r="K111" i="3" s="1"/>
  <c r="L111" i="3" s="1"/>
  <c r="A112" i="3" s="1"/>
  <c r="G112" i="3" l="1"/>
  <c r="C112" i="3"/>
  <c r="D112" i="3" s="1"/>
  <c r="E112" i="3"/>
  <c r="M110" i="3"/>
  <c r="H112" i="3" l="1"/>
  <c r="I112" i="3" l="1"/>
  <c r="J112" i="3" s="1"/>
  <c r="K112" i="3" s="1"/>
  <c r="L112" i="3" s="1"/>
  <c r="A113" i="3" s="1"/>
  <c r="G113" i="3" s="1"/>
  <c r="C113" i="3" l="1"/>
  <c r="D113" i="3" s="1"/>
  <c r="E113" i="3" l="1"/>
  <c r="H113" i="3" s="1"/>
  <c r="I113" i="3" s="1"/>
  <c r="J113" i="3" l="1"/>
  <c r="K113" i="3" s="1"/>
  <c r="L113" i="3" s="1"/>
  <c r="A114" i="3" s="1"/>
  <c r="G114" i="3" s="1"/>
  <c r="C114" i="3" l="1"/>
  <c r="D114" i="3" s="1"/>
  <c r="E114" i="3" l="1"/>
  <c r="H114" i="3" s="1"/>
  <c r="I114" i="3" s="1"/>
  <c r="J114" i="3" s="1"/>
  <c r="K114" i="3"/>
  <c r="L114" i="3" s="1"/>
  <c r="A115" i="3" s="1"/>
  <c r="G115" i="3" l="1"/>
  <c r="M113" i="3"/>
  <c r="C115" i="3"/>
  <c r="D115" i="3" s="1"/>
  <c r="E115" i="3" l="1"/>
  <c r="H115" i="3" s="1"/>
  <c r="I115" i="3" l="1"/>
  <c r="J115" i="3" s="1"/>
  <c r="K115" i="3" s="1"/>
  <c r="L115" i="3" s="1"/>
  <c r="A116" i="3" s="1"/>
  <c r="G116" i="3" l="1"/>
  <c r="C116" i="3"/>
  <c r="D116" i="3" s="1"/>
  <c r="E116" i="3"/>
  <c r="H116" i="3" l="1"/>
  <c r="I116" i="3" s="1"/>
  <c r="J116" i="3" s="1"/>
  <c r="K116" i="3" l="1"/>
  <c r="L116" i="3" s="1"/>
  <c r="A117" i="3" s="1"/>
  <c r="G117" i="3" l="1"/>
  <c r="C117" i="3"/>
  <c r="D117" i="3" s="1"/>
  <c r="E117" i="3"/>
  <c r="H117" i="3" l="1"/>
  <c r="I117" i="3" s="1"/>
  <c r="J117" i="3" s="1"/>
  <c r="K117" i="3" l="1"/>
  <c r="L117" i="3" s="1"/>
  <c r="A118" i="3" s="1"/>
  <c r="G118" i="3" l="1"/>
  <c r="M116" i="3"/>
  <c r="C118" i="3"/>
  <c r="D118" i="3" s="1"/>
  <c r="E118" i="3"/>
  <c r="H118" i="3" l="1"/>
  <c r="I118" i="3" s="1"/>
  <c r="J118" i="3" s="1"/>
  <c r="K118" i="3" l="1"/>
  <c r="L118" i="3" s="1"/>
  <c r="A119" i="3" s="1"/>
  <c r="G119" i="3" l="1"/>
  <c r="C119" i="3"/>
  <c r="D119" i="3" s="1"/>
  <c r="E119" i="3"/>
  <c r="H119" i="3" l="1"/>
  <c r="I119" i="3" s="1"/>
  <c r="J119" i="3" l="1"/>
  <c r="K119" i="3" s="1"/>
  <c r="L119" i="3" s="1"/>
  <c r="A120" i="3" s="1"/>
  <c r="G120" i="3" l="1"/>
  <c r="C120" i="3"/>
  <c r="D120" i="3" s="1"/>
  <c r="E120" i="3"/>
  <c r="H120" i="3" l="1"/>
  <c r="I120" i="3" s="1"/>
  <c r="J120" i="3" l="1"/>
  <c r="K120" i="3" s="1"/>
  <c r="L120" i="3" s="1"/>
  <c r="A121" i="3" s="1"/>
  <c r="G121" i="3" l="1"/>
  <c r="M119" i="3"/>
  <c r="C121" i="3"/>
  <c r="D121" i="3" s="1"/>
  <c r="E121" i="3"/>
  <c r="H121" i="3" l="1"/>
  <c r="I121" i="3" s="1"/>
  <c r="J121" i="3" l="1"/>
  <c r="K121" i="3" s="1"/>
  <c r="L121" i="3" s="1"/>
  <c r="A122" i="3" s="1"/>
  <c r="G122" i="3" l="1"/>
  <c r="C122" i="3"/>
  <c r="D122" i="3" s="1"/>
  <c r="E122" i="3"/>
  <c r="H122" i="3" l="1"/>
  <c r="I122" i="3" s="1"/>
  <c r="J122" i="3" s="1"/>
  <c r="K122" i="3" l="1"/>
  <c r="L122" i="3" s="1"/>
  <c r="A123" i="3" s="1"/>
  <c r="G123" i="3" l="1"/>
  <c r="C123" i="3"/>
  <c r="D123" i="3" s="1"/>
  <c r="E123" i="3"/>
  <c r="H123" i="3" l="1"/>
  <c r="I123" i="3" s="1"/>
  <c r="J123" i="3" l="1"/>
  <c r="K123" i="3" s="1"/>
  <c r="L123" i="3" s="1"/>
  <c r="A124" i="3" s="1"/>
  <c r="G124" i="3" l="1"/>
  <c r="M122" i="3"/>
  <c r="C124" i="3"/>
  <c r="D124" i="3" s="1"/>
  <c r="E124" i="3"/>
  <c r="H124" i="3" l="1"/>
  <c r="I124" i="3" s="1"/>
  <c r="J124" i="3" s="1"/>
  <c r="K124" i="3" l="1"/>
  <c r="L124" i="3" s="1"/>
  <c r="A125" i="3" s="1"/>
  <c r="G125" i="3" l="1"/>
  <c r="C125" i="3"/>
  <c r="D125" i="3" s="1"/>
  <c r="E125" i="3"/>
  <c r="H125" i="3" l="1"/>
  <c r="I125" i="3" s="1"/>
  <c r="J125" i="3" s="1"/>
  <c r="K125" i="3" l="1"/>
  <c r="L125" i="3" s="1"/>
  <c r="A126" i="3" s="1"/>
  <c r="G126" i="3" l="1"/>
  <c r="C126" i="3"/>
  <c r="D126" i="3" s="1"/>
  <c r="E126" i="3" l="1"/>
  <c r="H126" i="3" s="1"/>
  <c r="I126" i="3" l="1"/>
  <c r="J126" i="3"/>
  <c r="K126" i="3"/>
  <c r="L126" i="3" s="1"/>
  <c r="A127" i="3" s="1"/>
  <c r="G127" i="3" l="1"/>
  <c r="M125" i="3"/>
  <c r="C127" i="3"/>
  <c r="D127" i="3" s="1"/>
  <c r="E127" i="3" l="1"/>
  <c r="H127" i="3" l="1"/>
  <c r="I127" i="3" s="1"/>
  <c r="J127" i="3" s="1"/>
  <c r="K127" i="3" s="1"/>
  <c r="L127" i="3" s="1"/>
  <c r="A128" i="3" s="1"/>
  <c r="G128" i="3" l="1"/>
  <c r="C128" i="3"/>
  <c r="D128" i="3" s="1"/>
  <c r="E128" i="3" l="1"/>
  <c r="H128" i="3" s="1"/>
  <c r="I128" i="3" l="1"/>
  <c r="J128" i="3" s="1"/>
  <c r="K128" i="3" s="1"/>
  <c r="L128" i="3" s="1"/>
  <c r="A129" i="3" s="1"/>
  <c r="G129" i="3" l="1"/>
  <c r="C129" i="3"/>
  <c r="D129" i="3" s="1"/>
  <c r="E129" i="3"/>
  <c r="H129" i="3" l="1"/>
  <c r="I129" i="3" s="1"/>
  <c r="J129" i="3" l="1"/>
  <c r="K129" i="3"/>
  <c r="L129" i="3" s="1"/>
  <c r="A130" i="3" s="1"/>
  <c r="G130" i="3" l="1"/>
  <c r="M128" i="3"/>
  <c r="C130" i="3"/>
  <c r="D130" i="3" s="1"/>
  <c r="E130" i="3"/>
  <c r="H130" i="3" l="1"/>
  <c r="I130" i="3" s="1"/>
  <c r="J130" i="3" s="1"/>
  <c r="K130" i="3" l="1"/>
  <c r="L130" i="3" s="1"/>
  <c r="A131" i="3" s="1"/>
  <c r="G131" i="3" l="1"/>
  <c r="C131" i="3"/>
  <c r="D131" i="3" s="1"/>
  <c r="E131" i="3" l="1"/>
  <c r="H131" i="3" s="1"/>
  <c r="I131" i="3" s="1"/>
  <c r="J131" i="3" l="1"/>
  <c r="K131" i="3" s="1"/>
  <c r="L131" i="3" s="1"/>
  <c r="A132" i="3" s="1"/>
  <c r="G132" i="3" l="1"/>
  <c r="C132" i="3"/>
  <c r="D132" i="3" s="1"/>
  <c r="E132" i="3" l="1"/>
  <c r="H132" i="3" s="1"/>
  <c r="I132" i="3" l="1"/>
  <c r="J132" i="3" l="1"/>
  <c r="K132" i="3" s="1"/>
  <c r="L132" i="3" s="1"/>
  <c r="A133" i="3" s="1"/>
  <c r="G133" i="3" s="1"/>
  <c r="C133" i="3" l="1"/>
  <c r="D133" i="3" s="1"/>
  <c r="M131" i="3"/>
  <c r="E133" i="3" l="1"/>
  <c r="H133" i="3" s="1"/>
  <c r="I133" i="3" s="1"/>
  <c r="J133" i="3" s="1"/>
  <c r="K133" i="3" s="1"/>
  <c r="L133" i="3" s="1"/>
  <c r="A134" i="3" s="1"/>
  <c r="G134" i="3" l="1"/>
  <c r="C134" i="3"/>
  <c r="D134" i="3" s="1"/>
  <c r="E134" i="3" l="1"/>
  <c r="H134" i="3" s="1"/>
  <c r="I134" i="3" l="1"/>
  <c r="J134" i="3" s="1"/>
  <c r="K134" i="3" s="1"/>
  <c r="L134" i="3" s="1"/>
  <c r="A135" i="3" s="1"/>
  <c r="G135" i="3" l="1"/>
  <c r="C135" i="3"/>
  <c r="D135" i="3" s="1"/>
  <c r="E135" i="3" l="1"/>
  <c r="H135" i="3"/>
  <c r="I135" i="3" s="1"/>
  <c r="J135" i="3" s="1"/>
  <c r="K135" i="3" l="1"/>
  <c r="L135" i="3" s="1"/>
  <c r="A136" i="3" s="1"/>
  <c r="G136" i="3" l="1"/>
  <c r="M134" i="3"/>
  <c r="C136" i="3"/>
  <c r="D136" i="3" s="1"/>
  <c r="E136" i="3"/>
  <c r="H136" i="3" l="1"/>
  <c r="I136" i="3" s="1"/>
  <c r="J136" i="3" s="1"/>
  <c r="K136" i="3" l="1"/>
  <c r="L136" i="3" s="1"/>
  <c r="A137" i="3" s="1"/>
  <c r="G137" i="3" l="1"/>
  <c r="C137" i="3"/>
  <c r="D137" i="3" s="1"/>
  <c r="E137" i="3"/>
  <c r="H137" i="3" l="1"/>
  <c r="I137" i="3" s="1"/>
  <c r="J137" i="3" s="1"/>
  <c r="K137" i="3" l="1"/>
  <c r="L137" i="3" s="1"/>
  <c r="A138" i="3" s="1"/>
  <c r="G138" i="3" l="1"/>
  <c r="C138" i="3"/>
  <c r="D138" i="3" s="1"/>
  <c r="E138" i="3"/>
  <c r="H138" i="3" l="1"/>
  <c r="I138" i="3" s="1"/>
  <c r="J138" i="3" s="1"/>
  <c r="K138" i="3" l="1"/>
  <c r="L138" i="3" s="1"/>
  <c r="A139" i="3" s="1"/>
  <c r="G139" i="3" l="1"/>
  <c r="M137" i="3"/>
  <c r="C139" i="3"/>
  <c r="D139" i="3" s="1"/>
  <c r="E139" i="3" l="1"/>
  <c r="H139" i="3" s="1"/>
  <c r="I139" i="3" l="1"/>
  <c r="J139" i="3" s="1"/>
  <c r="K139" i="3" s="1"/>
  <c r="L139" i="3" s="1"/>
  <c r="A140" i="3" s="1"/>
  <c r="G140" i="3" l="1"/>
  <c r="C140" i="3"/>
  <c r="D140" i="3" s="1"/>
  <c r="E140" i="3" l="1"/>
  <c r="H140" i="3" s="1"/>
  <c r="I140" i="3" l="1"/>
  <c r="J140" i="3" s="1"/>
  <c r="K140" i="3" s="1"/>
  <c r="L140" i="3" s="1"/>
  <c r="A141" i="3" s="1"/>
  <c r="G141" i="3" l="1"/>
  <c r="C141" i="3"/>
  <c r="D141" i="3" s="1"/>
  <c r="E141" i="3" l="1"/>
  <c r="H141" i="3" s="1"/>
  <c r="I141" i="3" l="1"/>
  <c r="J141" i="3" s="1"/>
  <c r="K141" i="3" s="1"/>
  <c r="L141" i="3" s="1"/>
  <c r="A142" i="3" s="1"/>
  <c r="G142" i="3" l="1"/>
  <c r="M140" i="3"/>
  <c r="C142" i="3"/>
  <c r="D142" i="3" s="1"/>
  <c r="E142" i="3"/>
  <c r="H142" i="3" l="1"/>
  <c r="I142" i="3" s="1"/>
  <c r="J142" i="3" s="1"/>
  <c r="K142" i="3" l="1"/>
  <c r="L142" i="3" s="1"/>
  <c r="A143" i="3" s="1"/>
  <c r="G143" i="3" l="1"/>
  <c r="C143" i="3"/>
  <c r="D143" i="3" s="1"/>
  <c r="E143" i="3"/>
  <c r="H143" i="3" l="1"/>
  <c r="I143" i="3" s="1"/>
  <c r="J143" i="3" l="1"/>
  <c r="K143" i="3" s="1"/>
  <c r="L143" i="3" s="1"/>
  <c r="A144" i="3" s="1"/>
  <c r="G144" i="3" l="1"/>
  <c r="C144" i="3"/>
  <c r="D144" i="3" s="1"/>
  <c r="E144" i="3" l="1"/>
  <c r="H144" i="3"/>
  <c r="I144" i="3" s="1"/>
  <c r="J144" i="3" s="1"/>
  <c r="K144" i="3" l="1"/>
  <c r="L144" i="3" s="1"/>
  <c r="A145" i="3" s="1"/>
  <c r="G145" i="3" l="1"/>
  <c r="M143" i="3"/>
  <c r="C145" i="3"/>
  <c r="D145" i="3" s="1"/>
  <c r="E145" i="3"/>
  <c r="H145" i="3" l="1"/>
  <c r="I145" i="3" s="1"/>
  <c r="J145" i="3" s="1"/>
  <c r="K145" i="3" l="1"/>
  <c r="L145" i="3" s="1"/>
  <c r="A146" i="3" s="1"/>
  <c r="G146" i="3" l="1"/>
  <c r="C146" i="3"/>
  <c r="D146" i="3" s="1"/>
  <c r="E146" i="3" l="1"/>
  <c r="H146" i="3" s="1"/>
  <c r="I146" i="3" l="1"/>
  <c r="J146" i="3" s="1"/>
  <c r="K146" i="3" s="1"/>
  <c r="L146" i="3" s="1"/>
  <c r="A147" i="3" s="1"/>
  <c r="G147" i="3" l="1"/>
  <c r="C147" i="3"/>
  <c r="D147" i="3" s="1"/>
  <c r="E147" i="3" l="1"/>
  <c r="H147" i="3" s="1"/>
  <c r="I147" i="3" l="1"/>
  <c r="J147" i="3" s="1"/>
  <c r="K147" i="3" s="1"/>
  <c r="L147" i="3" s="1"/>
  <c r="A148" i="3" s="1"/>
  <c r="G148" i="3" l="1"/>
  <c r="M146" i="3"/>
  <c r="C148" i="3"/>
  <c r="D148" i="3" s="1"/>
  <c r="E148" i="3"/>
  <c r="H148" i="3" l="1"/>
  <c r="I148" i="3" s="1"/>
  <c r="J148" i="3" s="1"/>
  <c r="K148" i="3" l="1"/>
  <c r="L148" i="3" s="1"/>
  <c r="A149" i="3" s="1"/>
  <c r="G149" i="3" l="1"/>
  <c r="C149" i="3"/>
  <c r="D149" i="3" s="1"/>
  <c r="E149" i="3"/>
  <c r="H149" i="3" l="1"/>
  <c r="I149" i="3" s="1"/>
  <c r="J149" i="3" l="1"/>
  <c r="K149" i="3" s="1"/>
  <c r="L149" i="3" s="1"/>
  <c r="A150" i="3" s="1"/>
  <c r="G150" i="3" l="1"/>
  <c r="C150" i="3"/>
  <c r="D150" i="3" s="1"/>
  <c r="E150" i="3" l="1"/>
  <c r="H150" i="3"/>
  <c r="I150" i="3" l="1"/>
  <c r="J150" i="3" s="1"/>
  <c r="K150" i="3" s="1"/>
  <c r="L150" i="3" s="1"/>
  <c r="A151" i="3" s="1"/>
  <c r="G151" i="3" l="1"/>
  <c r="M149" i="3"/>
  <c r="C151" i="3"/>
  <c r="D151" i="3" s="1"/>
  <c r="E151" i="3"/>
  <c r="H151" i="3" l="1"/>
  <c r="I151" i="3" l="1"/>
  <c r="J151" i="3" s="1"/>
  <c r="K151" i="3" s="1"/>
  <c r="L151" i="3" s="1"/>
  <c r="A152" i="3" s="1"/>
  <c r="G152" i="3" l="1"/>
  <c r="C152" i="3"/>
  <c r="D152" i="3" s="1"/>
  <c r="E152" i="3"/>
  <c r="H152" i="3" l="1"/>
  <c r="I152" i="3" s="1"/>
  <c r="J152" i="3" s="1"/>
  <c r="K152" i="3" s="1"/>
  <c r="L152" i="3" s="1"/>
  <c r="A153" i="3" s="1"/>
  <c r="G153" i="3" l="1"/>
  <c r="C153" i="3"/>
  <c r="D153" i="3" s="1"/>
  <c r="E153" i="3"/>
  <c r="H153" i="3" l="1"/>
  <c r="I153" i="3" l="1"/>
  <c r="J153" i="3" s="1"/>
  <c r="K153" i="3" s="1"/>
  <c r="L153" i="3" s="1"/>
  <c r="A154" i="3" s="1"/>
  <c r="C154" i="3" l="1"/>
  <c r="D154" i="3" s="1"/>
  <c r="G154" i="3"/>
  <c r="M152" i="3"/>
  <c r="E154" i="3" l="1"/>
  <c r="H154" i="3" s="1"/>
  <c r="I154" i="3" s="1"/>
  <c r="J154" i="3" s="1"/>
  <c r="K154" i="3" s="1"/>
  <c r="L154" i="3" s="1"/>
  <c r="A155" i="3" s="1"/>
  <c r="G155" i="3" l="1"/>
  <c r="C155" i="3"/>
  <c r="D155" i="3" s="1"/>
  <c r="E155" i="3"/>
  <c r="H155" i="3" l="1"/>
  <c r="I155" i="3" s="1"/>
  <c r="J155" i="3" l="1"/>
  <c r="K155" i="3" s="1"/>
  <c r="L155" i="3" s="1"/>
  <c r="A156" i="3" s="1"/>
  <c r="G156" i="3" l="1"/>
  <c r="C156" i="3"/>
  <c r="D156" i="3" s="1"/>
  <c r="E156" i="3"/>
  <c r="H156" i="3" l="1"/>
  <c r="I156" i="3" s="1"/>
  <c r="J156" i="3" s="1"/>
  <c r="K156" i="3" l="1"/>
  <c r="L156" i="3" s="1"/>
  <c r="A157" i="3" s="1"/>
  <c r="G157" i="3" l="1"/>
  <c r="M155" i="3"/>
  <c r="C157" i="3"/>
  <c r="D157" i="3" s="1"/>
  <c r="E157" i="3" l="1"/>
  <c r="H157" i="3" s="1"/>
  <c r="I157" i="3" l="1"/>
  <c r="J157" i="3" s="1"/>
  <c r="K157" i="3" l="1"/>
  <c r="L157" i="3" s="1"/>
  <c r="A158" i="3" s="1"/>
  <c r="G158" i="3" l="1"/>
  <c r="C158" i="3"/>
  <c r="D158" i="3" s="1"/>
  <c r="E158" i="3"/>
  <c r="H158" i="3" l="1"/>
  <c r="I158" i="3" s="1"/>
  <c r="J158" i="3" s="1"/>
  <c r="K158" i="3" l="1"/>
  <c r="L158" i="3" s="1"/>
  <c r="A159" i="3" s="1"/>
  <c r="G159" i="3" l="1"/>
  <c r="C159" i="3"/>
  <c r="D159" i="3" s="1"/>
  <c r="E159" i="3"/>
  <c r="H159" i="3" l="1"/>
  <c r="I159" i="3" s="1"/>
  <c r="J159" i="3" s="1"/>
  <c r="K159" i="3" l="1"/>
  <c r="L159" i="3" s="1"/>
  <c r="A160" i="3" s="1"/>
  <c r="G160" i="3" l="1"/>
  <c r="M158" i="3"/>
  <c r="C160" i="3"/>
  <c r="D160" i="3" s="1"/>
  <c r="E160" i="3"/>
  <c r="H160" i="3" l="1"/>
  <c r="I160" i="3" s="1"/>
  <c r="J160" i="3" s="1"/>
  <c r="K160" i="3" l="1"/>
  <c r="L160" i="3" s="1"/>
  <c r="A161" i="3" s="1"/>
  <c r="G161" i="3" l="1"/>
  <c r="C161" i="3"/>
  <c r="D161" i="3" s="1"/>
  <c r="E161" i="3"/>
  <c r="H161" i="3" l="1"/>
  <c r="I161" i="3" l="1"/>
  <c r="J161" i="3" s="1"/>
  <c r="K161" i="3" l="1"/>
  <c r="L161" i="3" s="1"/>
  <c r="A162" i="3" s="1"/>
  <c r="G162" i="3" l="1"/>
  <c r="C162" i="3"/>
  <c r="D162" i="3" s="1"/>
  <c r="E162" i="3"/>
  <c r="H162" i="3" l="1"/>
  <c r="I162" i="3" l="1"/>
  <c r="J162" i="3"/>
  <c r="K162" i="3" l="1"/>
  <c r="L162" i="3" s="1"/>
  <c r="A163" i="3" s="1"/>
  <c r="G163" i="3" l="1"/>
  <c r="M161" i="3"/>
  <c r="C163" i="3"/>
  <c r="D163" i="3" s="1"/>
  <c r="E163" i="3"/>
  <c r="H163" i="3" l="1"/>
  <c r="I163" i="3" s="1"/>
  <c r="J163" i="3" s="1"/>
  <c r="K163" i="3" l="1"/>
  <c r="L163" i="3" s="1"/>
  <c r="A164" i="3" s="1"/>
  <c r="G164" i="3" l="1"/>
  <c r="C164" i="3"/>
  <c r="D164" i="3" s="1"/>
  <c r="E164" i="3"/>
  <c r="H164" i="3" l="1"/>
  <c r="I164" i="3" l="1"/>
  <c r="J164" i="3"/>
  <c r="K164" i="3" l="1"/>
  <c r="L164" i="3" s="1"/>
  <c r="A165" i="3" s="1"/>
  <c r="G165" i="3" l="1"/>
  <c r="C165" i="3"/>
  <c r="D165" i="3" s="1"/>
  <c r="E165" i="3"/>
  <c r="H165" i="3" l="1"/>
  <c r="I165" i="3" l="1"/>
  <c r="J165" i="3" s="1"/>
  <c r="K165" i="3" l="1"/>
  <c r="L165" i="3" s="1"/>
  <c r="A166" i="3" s="1"/>
  <c r="G166" i="3" l="1"/>
  <c r="M164" i="3"/>
  <c r="C166" i="3"/>
  <c r="D166" i="3" s="1"/>
  <c r="E166" i="3"/>
  <c r="H166" i="3" l="1"/>
  <c r="I166" i="3" s="1"/>
  <c r="J166" i="3" s="1"/>
  <c r="K166" i="3" l="1"/>
  <c r="L166" i="3" s="1"/>
  <c r="A167" i="3" s="1"/>
  <c r="G167" i="3" l="1"/>
  <c r="C167" i="3"/>
  <c r="D167" i="3" s="1"/>
  <c r="E167" i="3"/>
  <c r="H167" i="3" l="1"/>
  <c r="I167" i="3" s="1"/>
  <c r="J167" i="3" s="1"/>
  <c r="K167" i="3" s="1"/>
  <c r="L167" i="3" s="1"/>
  <c r="A168" i="3" s="1"/>
  <c r="G168" i="3" l="1"/>
  <c r="C168" i="3"/>
  <c r="D168" i="3" s="1"/>
  <c r="E168" i="3"/>
  <c r="H168" i="3" l="1"/>
  <c r="I168" i="3"/>
  <c r="J168" i="3" s="1"/>
  <c r="K168" i="3" l="1"/>
  <c r="L168" i="3" s="1"/>
  <c r="A169" i="3" s="1"/>
  <c r="G169" i="3" l="1"/>
  <c r="M167" i="3"/>
  <c r="C169" i="3"/>
  <c r="D169" i="3" s="1"/>
  <c r="E169" i="3"/>
  <c r="H169" i="3" l="1"/>
  <c r="I169" i="3" l="1"/>
  <c r="J169" i="3" s="1"/>
  <c r="K169" i="3" l="1"/>
  <c r="L169" i="3" s="1"/>
  <c r="A170" i="3" s="1"/>
  <c r="G170" i="3" l="1"/>
  <c r="C170" i="3"/>
  <c r="D170" i="3" s="1"/>
  <c r="E170" i="3" l="1"/>
  <c r="H170" i="3" s="1"/>
  <c r="I170" i="3" l="1"/>
  <c r="J170" i="3" s="1"/>
  <c r="K170" i="3" s="1"/>
  <c r="L170" i="3" s="1"/>
  <c r="A171" i="3" s="1"/>
  <c r="G171" i="3" l="1"/>
  <c r="C171" i="3"/>
  <c r="D171" i="3" s="1"/>
  <c r="E171" i="3" l="1"/>
  <c r="H171" i="3"/>
  <c r="I171" i="3"/>
  <c r="J171" i="3" s="1"/>
  <c r="K171" i="3" l="1"/>
  <c r="L171" i="3" s="1"/>
  <c r="A172" i="3" s="1"/>
  <c r="G172" i="3" l="1"/>
  <c r="M170" i="3"/>
  <c r="C172" i="3"/>
  <c r="D172" i="3" s="1"/>
  <c r="E172" i="3" l="1"/>
  <c r="H172" i="3" s="1"/>
  <c r="I172" i="3" s="1"/>
  <c r="J172" i="3" s="1"/>
  <c r="K172" i="3" l="1"/>
  <c r="L172" i="3" s="1"/>
  <c r="A173" i="3" s="1"/>
  <c r="G173" i="3" l="1"/>
  <c r="C173" i="3"/>
  <c r="D173" i="3" s="1"/>
  <c r="E173" i="3"/>
  <c r="H173" i="3" l="1"/>
  <c r="I173" i="3" l="1"/>
  <c r="J173" i="3"/>
  <c r="K173" i="3" l="1"/>
  <c r="L173" i="3" s="1"/>
  <c r="A174" i="3" s="1"/>
  <c r="G174" i="3" l="1"/>
  <c r="C174" i="3"/>
  <c r="D174" i="3" s="1"/>
  <c r="E174" i="3"/>
  <c r="H174" i="3" l="1"/>
  <c r="I174" i="3"/>
  <c r="J174" i="3" s="1"/>
  <c r="K174" i="3" l="1"/>
  <c r="L174" i="3" s="1"/>
  <c r="A175" i="3" s="1"/>
  <c r="G175" i="3" l="1"/>
  <c r="M173" i="3"/>
  <c r="C175" i="3"/>
  <c r="D175" i="3" s="1"/>
  <c r="E175" i="3"/>
  <c r="H175" i="3" l="1"/>
  <c r="I175" i="3" s="1"/>
  <c r="J175" i="3" s="1"/>
  <c r="K175" i="3" l="1"/>
  <c r="L175" i="3" s="1"/>
  <c r="A176" i="3" s="1"/>
  <c r="G176" i="3" l="1"/>
  <c r="C176" i="3"/>
  <c r="D176" i="3" s="1"/>
  <c r="E176" i="3" l="1"/>
  <c r="H176" i="3" s="1"/>
  <c r="I176" i="3" l="1"/>
  <c r="J176" i="3"/>
  <c r="K176" i="3" l="1"/>
  <c r="L176" i="3" s="1"/>
  <c r="A177" i="3" s="1"/>
  <c r="G177" i="3" l="1"/>
  <c r="C177" i="3"/>
  <c r="D177" i="3" s="1"/>
  <c r="E177" i="3"/>
  <c r="H177" i="3" l="1"/>
  <c r="I177" i="3" l="1"/>
  <c r="J177" i="3"/>
  <c r="K177" i="3" l="1"/>
  <c r="L177" i="3" s="1"/>
  <c r="A178" i="3" s="1"/>
  <c r="G178" i="3" l="1"/>
  <c r="M176" i="3"/>
  <c r="C178" i="3"/>
  <c r="D178" i="3" s="1"/>
  <c r="E178" i="3" l="1"/>
  <c r="H178" i="3" s="1"/>
  <c r="I178" i="3" l="1"/>
  <c r="J178" i="3" s="1"/>
  <c r="K178" i="3" s="1"/>
  <c r="L178" i="3" s="1"/>
  <c r="A179" i="3" s="1"/>
  <c r="G179" i="3" l="1"/>
  <c r="C179" i="3"/>
  <c r="D179" i="3" s="1"/>
  <c r="E179" i="3" l="1"/>
  <c r="H179" i="3" s="1"/>
  <c r="I179" i="3" l="1"/>
  <c r="J179" i="3"/>
  <c r="K179" i="3" l="1"/>
  <c r="L179" i="3" s="1"/>
  <c r="A180" i="3" s="1"/>
  <c r="G180" i="3" l="1"/>
  <c r="C180" i="3"/>
  <c r="D180" i="3" s="1"/>
  <c r="E180" i="3"/>
  <c r="H180" i="3" l="1"/>
  <c r="I180" i="3" s="1"/>
  <c r="J180" i="3" s="1"/>
  <c r="K180" i="3" l="1"/>
  <c r="L180" i="3" s="1"/>
  <c r="A181" i="3" s="1"/>
  <c r="G181" i="3" l="1"/>
  <c r="M179" i="3"/>
  <c r="C181" i="3"/>
  <c r="D181" i="3" s="1"/>
  <c r="E181" i="3" l="1"/>
  <c r="H181" i="3" s="1"/>
  <c r="I181" i="3" l="1"/>
  <c r="J181" i="3" s="1"/>
  <c r="K181" i="3" l="1"/>
  <c r="L181" i="3" s="1"/>
  <c r="A182" i="3" s="1"/>
  <c r="G182" i="3" l="1"/>
  <c r="C182" i="3"/>
  <c r="D182" i="3" s="1"/>
  <c r="E182" i="3" l="1"/>
  <c r="H182" i="3" s="1"/>
  <c r="I182" i="3" l="1"/>
  <c r="J182" i="3" s="1"/>
  <c r="K182" i="3" s="1"/>
  <c r="L182" i="3" s="1"/>
  <c r="A183" i="3" s="1"/>
  <c r="G183" i="3" l="1"/>
  <c r="C183" i="3"/>
  <c r="D183" i="3" s="1"/>
  <c r="E183" i="3" l="1"/>
  <c r="H183" i="3" s="1"/>
  <c r="I183" i="3" s="1"/>
  <c r="J183" i="3" s="1"/>
  <c r="K183" i="3" l="1"/>
  <c r="L183" i="3" s="1"/>
  <c r="A184" i="3" s="1"/>
  <c r="G184" i="3" l="1"/>
  <c r="M182" i="3"/>
  <c r="C184" i="3"/>
  <c r="D184" i="3" s="1"/>
  <c r="E184" i="3"/>
  <c r="H184" i="3" l="1"/>
  <c r="I184" i="3" s="1"/>
  <c r="J184" i="3" s="1"/>
  <c r="K184" i="3" l="1"/>
  <c r="L184" i="3" s="1"/>
  <c r="A185" i="3" s="1"/>
  <c r="G185" i="3" l="1"/>
  <c r="C185" i="3"/>
  <c r="D185" i="3" s="1"/>
  <c r="E185" i="3"/>
  <c r="H185" i="3" l="1"/>
  <c r="I185" i="3" l="1"/>
  <c r="J185" i="3" s="1"/>
  <c r="K185" i="3" l="1"/>
  <c r="L185" i="3" s="1"/>
  <c r="A186" i="3" s="1"/>
  <c r="G186" i="3" l="1"/>
  <c r="C186" i="3"/>
  <c r="D186" i="3" s="1"/>
  <c r="E186" i="3"/>
  <c r="H186" i="3" l="1"/>
  <c r="I186" i="3" s="1"/>
  <c r="J186" i="3" s="1"/>
  <c r="K186" i="3" l="1"/>
  <c r="L186" i="3" s="1"/>
  <c r="A187" i="3" s="1"/>
  <c r="G187" i="3" l="1"/>
  <c r="M185" i="3"/>
  <c r="C187" i="3"/>
  <c r="D187" i="3" s="1"/>
  <c r="E187" i="3" l="1"/>
  <c r="H187" i="3" s="1"/>
  <c r="I187" i="3" l="1"/>
  <c r="J187" i="3"/>
  <c r="K187" i="3" l="1"/>
  <c r="L187" i="3" s="1"/>
  <c r="A188" i="3" s="1"/>
  <c r="G188" i="3" l="1"/>
  <c r="C188" i="3"/>
  <c r="D188" i="3" s="1"/>
  <c r="E188" i="3"/>
  <c r="H188" i="3" l="1"/>
  <c r="I188" i="3" s="1"/>
  <c r="J188" i="3" s="1"/>
  <c r="K188" i="3" l="1"/>
  <c r="L188" i="3" s="1"/>
  <c r="A189" i="3" s="1"/>
  <c r="G189" i="3" l="1"/>
  <c r="C189" i="3"/>
  <c r="D189" i="3" s="1"/>
  <c r="E189" i="3" l="1"/>
  <c r="H189" i="3" s="1"/>
  <c r="I189" i="3" l="1"/>
  <c r="J189" i="3" s="1"/>
  <c r="K189" i="3" l="1"/>
  <c r="L189" i="3" s="1"/>
  <c r="A190" i="3" s="1"/>
  <c r="G190" i="3" l="1"/>
  <c r="M188" i="3"/>
  <c r="C190" i="3"/>
  <c r="D190" i="3" s="1"/>
  <c r="E190" i="3" l="1"/>
  <c r="H190" i="3" s="1"/>
  <c r="I190" i="3" l="1"/>
  <c r="J190" i="3" s="1"/>
  <c r="K190" i="3" l="1"/>
  <c r="L190" i="3" s="1"/>
  <c r="A191" i="3" s="1"/>
  <c r="G191" i="3" l="1"/>
  <c r="C191" i="3"/>
  <c r="D191" i="3" s="1"/>
  <c r="E191" i="3"/>
  <c r="H191" i="3" l="1"/>
  <c r="I191" i="3" s="1"/>
  <c r="J191" i="3" s="1"/>
  <c r="K191" i="3" l="1"/>
  <c r="L191" i="3" s="1"/>
  <c r="A192" i="3" s="1"/>
  <c r="G192" i="3" l="1"/>
  <c r="C192" i="3"/>
  <c r="D192" i="3" s="1"/>
  <c r="E192" i="3" l="1"/>
  <c r="H192" i="3" s="1"/>
  <c r="I192" i="3" l="1"/>
  <c r="J192" i="3" s="1"/>
  <c r="K192" i="3" s="1"/>
  <c r="L192" i="3" s="1"/>
  <c r="A193" i="3" s="1"/>
  <c r="G193" i="3" l="1"/>
  <c r="M191" i="3"/>
  <c r="C193" i="3"/>
  <c r="D193" i="3" s="1"/>
  <c r="E193" i="3" l="1"/>
  <c r="H193" i="3"/>
  <c r="I193" i="3" l="1"/>
  <c r="J193" i="3"/>
  <c r="K193" i="3" l="1"/>
  <c r="L193" i="3" s="1"/>
  <c r="A194" i="3" s="1"/>
  <c r="G194" i="3" l="1"/>
  <c r="C194" i="3"/>
  <c r="D194" i="3" s="1"/>
  <c r="E194" i="3"/>
  <c r="H194" i="3" l="1"/>
  <c r="I194" i="3" l="1"/>
  <c r="J194" i="3" s="1"/>
  <c r="K194" i="3" l="1"/>
  <c r="L194" i="3" s="1"/>
  <c r="A195" i="3" s="1"/>
  <c r="G195" i="3" l="1"/>
  <c r="C195" i="3"/>
  <c r="D195" i="3" s="1"/>
  <c r="E195" i="3"/>
  <c r="H195" i="3" l="1"/>
  <c r="I195" i="3" l="1"/>
  <c r="J195" i="3"/>
  <c r="K195" i="3" l="1"/>
  <c r="L195" i="3" s="1"/>
  <c r="A196" i="3" s="1"/>
  <c r="G196" i="3" l="1"/>
  <c r="M194" i="3"/>
  <c r="C196" i="3"/>
  <c r="D196" i="3" s="1"/>
  <c r="E196" i="3" l="1"/>
  <c r="H196" i="3" s="1"/>
  <c r="I196" i="3" l="1"/>
  <c r="J196" i="3" s="1"/>
  <c r="K196" i="3" s="1"/>
  <c r="L196" i="3" s="1"/>
  <c r="A197" i="3" s="1"/>
  <c r="G197" i="3" l="1"/>
  <c r="C197" i="3"/>
  <c r="D197" i="3" s="1"/>
  <c r="E197" i="3"/>
  <c r="H197" i="3" l="1"/>
  <c r="I197" i="3" s="1"/>
  <c r="J197" i="3" s="1"/>
  <c r="K197" i="3" l="1"/>
  <c r="L197" i="3" s="1"/>
  <c r="A198" i="3" s="1"/>
  <c r="G198" i="3" l="1"/>
  <c r="C198" i="3"/>
  <c r="D198" i="3" s="1"/>
  <c r="E198" i="3" l="1"/>
  <c r="H198" i="3" s="1"/>
  <c r="I198" i="3" s="1"/>
  <c r="J198" i="3" s="1"/>
  <c r="K198" i="3" l="1"/>
  <c r="L198" i="3" s="1"/>
  <c r="A199" i="3" s="1"/>
  <c r="G199" i="3" l="1"/>
  <c r="M197" i="3"/>
  <c r="C199" i="3"/>
  <c r="D199" i="3" s="1"/>
  <c r="E199" i="3"/>
  <c r="H199" i="3" l="1"/>
  <c r="I199" i="3" s="1"/>
  <c r="J199" i="3" s="1"/>
  <c r="K199" i="3" l="1"/>
  <c r="L199" i="3" s="1"/>
  <c r="A200" i="3" s="1"/>
  <c r="G200" i="3" l="1"/>
  <c r="C200" i="3"/>
  <c r="D200" i="3" s="1"/>
  <c r="E200" i="3"/>
  <c r="H200" i="3" l="1"/>
  <c r="I200" i="3" s="1"/>
  <c r="J200" i="3" s="1"/>
  <c r="K200" i="3" l="1"/>
  <c r="L200" i="3" s="1"/>
  <c r="A201" i="3" s="1"/>
  <c r="G201" i="3" l="1"/>
  <c r="C201" i="3"/>
  <c r="D201" i="3" s="1"/>
  <c r="E201" i="3" l="1"/>
  <c r="H201" i="3" s="1"/>
  <c r="I201" i="3" l="1"/>
  <c r="J201" i="3"/>
  <c r="K201" i="3"/>
  <c r="L201" i="3" s="1"/>
  <c r="A202" i="3" s="1"/>
  <c r="G202" i="3" l="1"/>
  <c r="M200" i="3"/>
  <c r="C202" i="3"/>
  <c r="D202" i="3" s="1"/>
  <c r="E202" i="3" l="1"/>
  <c r="H202" i="3" s="1"/>
  <c r="I202" i="3" l="1"/>
  <c r="J202" i="3" s="1"/>
  <c r="K202" i="3" s="1"/>
  <c r="L202" i="3" s="1"/>
  <c r="A203" i="3" s="1"/>
  <c r="G203" i="3" l="1"/>
  <c r="C203" i="3"/>
  <c r="D203" i="3" s="1"/>
  <c r="E203" i="3" l="1"/>
  <c r="H203" i="3" s="1"/>
  <c r="I203" i="3" s="1"/>
  <c r="J203" i="3" s="1"/>
  <c r="K203" i="3" l="1"/>
  <c r="L203" i="3" s="1"/>
  <c r="A204" i="3" s="1"/>
  <c r="G204" i="3" l="1"/>
  <c r="C204" i="3"/>
  <c r="D204" i="3" s="1"/>
  <c r="E204" i="3"/>
  <c r="H204" i="3" l="1"/>
  <c r="I204" i="3" s="1"/>
  <c r="J204" i="3" s="1"/>
  <c r="K204" i="3" l="1"/>
  <c r="L204" i="3"/>
  <c r="A205" i="3" s="1"/>
  <c r="G205" i="3" l="1"/>
  <c r="M203" i="3"/>
  <c r="C205" i="3"/>
  <c r="D205" i="3" s="1"/>
  <c r="E205" i="3"/>
  <c r="H205" i="3" l="1"/>
  <c r="I205" i="3" l="1"/>
  <c r="J205" i="3"/>
  <c r="K205" i="3" l="1"/>
  <c r="L205" i="3"/>
  <c r="A206" i="3" s="1"/>
  <c r="G206" i="3" l="1"/>
  <c r="C206" i="3"/>
  <c r="D206" i="3" s="1"/>
  <c r="E206" i="3"/>
  <c r="H206" i="3" l="1"/>
  <c r="I206" i="3" l="1"/>
  <c r="J206" i="3" s="1"/>
  <c r="K206" i="3" l="1"/>
  <c r="L206" i="3" s="1"/>
  <c r="A207" i="3" s="1"/>
  <c r="G207" i="3" l="1"/>
  <c r="C207" i="3"/>
  <c r="D207" i="3" s="1"/>
  <c r="E207" i="3" l="1"/>
  <c r="H207" i="3" l="1"/>
  <c r="I207" i="3" s="1"/>
  <c r="J207" i="3" l="1"/>
  <c r="K207" i="3" s="1"/>
  <c r="L207" i="3" s="1"/>
  <c r="A208" i="3" s="1"/>
  <c r="G208" i="3" s="1"/>
  <c r="C208" i="3" l="1"/>
  <c r="D208" i="3" s="1"/>
  <c r="M206" i="3"/>
  <c r="E208" i="3" l="1"/>
  <c r="H208" i="3" s="1"/>
  <c r="I208" i="3" s="1"/>
  <c r="J208" i="3" l="1"/>
  <c r="K208" i="3" l="1"/>
  <c r="L208" i="3"/>
  <c r="A209" i="3" s="1"/>
  <c r="G209" i="3" l="1"/>
  <c r="C209" i="3"/>
  <c r="D209" i="3" s="1"/>
  <c r="E209" i="3" l="1"/>
  <c r="H209" i="3"/>
  <c r="I209" i="3" s="1"/>
  <c r="J209" i="3" s="1"/>
  <c r="K209" i="3" s="1"/>
  <c r="L209" i="3" l="1"/>
  <c r="A210" i="3" s="1"/>
  <c r="G210" i="3"/>
  <c r="C210" i="3"/>
  <c r="D210" i="3" s="1"/>
  <c r="E210" i="3" l="1"/>
  <c r="H210" i="3" s="1"/>
  <c r="I210" i="3" l="1"/>
  <c r="J210" i="3" s="1"/>
  <c r="K210" i="3" s="1"/>
  <c r="L210" i="3" s="1"/>
  <c r="A211" i="3" s="1"/>
  <c r="G211" i="3" l="1"/>
  <c r="M209" i="3"/>
  <c r="C211" i="3"/>
  <c r="D211" i="3" s="1"/>
  <c r="E211" i="3" l="1"/>
  <c r="H211" i="3" s="1"/>
  <c r="I211" i="3" l="1"/>
  <c r="J211" i="3" s="1"/>
  <c r="K211" i="3" l="1"/>
  <c r="L211" i="3" s="1"/>
  <c r="A212" i="3" s="1"/>
  <c r="G212" i="3" l="1"/>
  <c r="C212" i="3"/>
  <c r="D212" i="3" s="1"/>
  <c r="E212" i="3"/>
  <c r="H212" i="3" l="1"/>
  <c r="I212" i="3" s="1"/>
  <c r="J212" i="3" s="1"/>
  <c r="K212" i="3" l="1"/>
  <c r="L212" i="3"/>
  <c r="A213" i="3" s="1"/>
  <c r="G213" i="3" l="1"/>
  <c r="C213" i="3"/>
  <c r="D213" i="3" s="1"/>
  <c r="E213" i="3" l="1"/>
  <c r="H213" i="3" s="1"/>
  <c r="I213" i="3" l="1"/>
  <c r="J213" i="3"/>
  <c r="K213" i="3" l="1"/>
  <c r="L213" i="3"/>
  <c r="A214" i="3" s="1"/>
  <c r="G214" i="3" l="1"/>
  <c r="M212" i="3"/>
  <c r="C214" i="3"/>
  <c r="D214" i="3" s="1"/>
  <c r="E214" i="3" l="1"/>
  <c r="H214" i="3" s="1"/>
  <c r="I214" i="3" s="1"/>
  <c r="J214" i="3" l="1"/>
  <c r="K214" i="3" s="1"/>
  <c r="L214" i="3" s="1"/>
  <c r="A215" i="3" s="1"/>
  <c r="G215" i="3" s="1"/>
  <c r="C215" i="3" l="1"/>
  <c r="D215" i="3" s="1"/>
  <c r="E215" i="3" l="1"/>
  <c r="H215" i="3" s="1"/>
  <c r="I215" i="3"/>
  <c r="J215" i="3" l="1"/>
  <c r="K215" i="3"/>
  <c r="L215" i="3"/>
  <c r="A216" i="3" s="1"/>
  <c r="G216" i="3"/>
  <c r="C216" i="3"/>
  <c r="D216" i="3" s="1"/>
  <c r="E216" i="3"/>
  <c r="H216" i="3" l="1"/>
  <c r="I216" i="3" s="1"/>
  <c r="J216" i="3" s="1"/>
  <c r="K216" i="3" s="1"/>
  <c r="L216" i="3" s="1"/>
  <c r="A217" i="3" s="1"/>
  <c r="G217" i="3" l="1"/>
  <c r="C217" i="3"/>
  <c r="D217" i="3" s="1"/>
  <c r="E217" i="3"/>
  <c r="M215" i="3"/>
  <c r="H217" i="3" l="1"/>
  <c r="I217" i="3"/>
  <c r="J217" i="3" s="1"/>
  <c r="K217" i="3" l="1"/>
  <c r="L217" i="3" s="1"/>
  <c r="A218" i="3" s="1"/>
  <c r="G218" i="3" l="1"/>
  <c r="C218" i="3"/>
  <c r="D218" i="3" s="1"/>
  <c r="E218" i="3" l="1"/>
  <c r="H218" i="3" s="1"/>
  <c r="I218" i="3" s="1"/>
  <c r="J218" i="3" s="1"/>
  <c r="K218" i="3" s="1"/>
  <c r="L218" i="3" s="1"/>
  <c r="A219" i="3" s="1"/>
  <c r="G219" i="3" l="1"/>
  <c r="C219" i="3"/>
  <c r="D219" i="3" s="1"/>
  <c r="E219" i="3" l="1"/>
  <c r="H219" i="3" s="1"/>
  <c r="I219" i="3" l="1"/>
  <c r="J219" i="3" s="1"/>
  <c r="K219" i="3" l="1"/>
  <c r="L219" i="3"/>
  <c r="A220" i="3" s="1"/>
  <c r="G220" i="3" l="1"/>
  <c r="M218" i="3"/>
  <c r="C220" i="3"/>
  <c r="D220" i="3" s="1"/>
  <c r="E220" i="3" l="1"/>
  <c r="H220" i="3" s="1"/>
  <c r="I220" i="3" l="1"/>
  <c r="J220" i="3" s="1"/>
  <c r="K220" i="3" l="1"/>
  <c r="L220" i="3" s="1"/>
  <c r="A221" i="3" s="1"/>
  <c r="G221" i="3" l="1"/>
  <c r="C221" i="3"/>
  <c r="D221" i="3" s="1"/>
  <c r="E221" i="3"/>
  <c r="H221" i="3" l="1"/>
  <c r="I221" i="3" s="1"/>
  <c r="J221" i="3" l="1"/>
  <c r="K221" i="3"/>
  <c r="L221" i="3"/>
  <c r="A222" i="3" s="1"/>
  <c r="G222" i="3" l="1"/>
  <c r="C222" i="3"/>
  <c r="D222" i="3" s="1"/>
  <c r="E222" i="3" l="1"/>
  <c r="H222" i="3" s="1"/>
  <c r="I222" i="3" s="1"/>
  <c r="J222" i="3" s="1"/>
  <c r="K222" i="3" s="1"/>
  <c r="L222" i="3" s="1"/>
  <c r="A223" i="3" s="1"/>
  <c r="G223" i="3" l="1"/>
  <c r="M221" i="3"/>
  <c r="C223" i="3"/>
  <c r="D223" i="3" s="1"/>
  <c r="E223" i="3"/>
  <c r="H223" i="3" l="1"/>
  <c r="I223" i="3" s="1"/>
  <c r="J223" i="3" s="1"/>
  <c r="K223" i="3" s="1"/>
  <c r="L223" i="3" s="1"/>
  <c r="A224" i="3" s="1"/>
  <c r="G224" i="3" l="1"/>
  <c r="C224" i="3"/>
  <c r="D224" i="3" s="1"/>
  <c r="E224" i="3" l="1"/>
  <c r="H224" i="3" s="1"/>
  <c r="I224" i="3" l="1"/>
  <c r="J224" i="3" s="1"/>
  <c r="K224" i="3" s="1"/>
  <c r="L224" i="3" s="1"/>
  <c r="A225" i="3" s="1"/>
  <c r="G225" i="3"/>
  <c r="C225" i="3"/>
  <c r="D225" i="3" s="1"/>
  <c r="E225" i="3" l="1"/>
  <c r="H225" i="3" s="1"/>
  <c r="I225" i="3" s="1"/>
  <c r="J225" i="3" s="1"/>
  <c r="K225" i="3" s="1"/>
  <c r="L225" i="3" s="1"/>
  <c r="A226" i="3" s="1"/>
  <c r="G226" i="3" l="1"/>
  <c r="M224" i="3"/>
  <c r="C226" i="3"/>
  <c r="D226" i="3" s="1"/>
  <c r="E226" i="3" l="1"/>
  <c r="H226" i="3" s="1"/>
  <c r="I226" i="3" l="1"/>
  <c r="J226" i="3" s="1"/>
  <c r="K226" i="3" s="1"/>
  <c r="L226" i="3" s="1"/>
  <c r="A227" i="3" s="1"/>
  <c r="G227" i="3" l="1"/>
  <c r="C227" i="3"/>
  <c r="D227" i="3" s="1"/>
  <c r="E227" i="3" l="1"/>
  <c r="H227" i="3"/>
  <c r="I227" i="3" l="1"/>
  <c r="J227" i="3"/>
  <c r="K227" i="3" l="1"/>
  <c r="L227" i="3" s="1"/>
  <c r="A228" i="3" s="1"/>
  <c r="G228" i="3" l="1"/>
  <c r="C228" i="3"/>
  <c r="D228" i="3" s="1"/>
  <c r="E228" i="3" l="1"/>
  <c r="H228" i="3" s="1"/>
  <c r="I228" i="3" s="1"/>
  <c r="J228" i="3" s="1"/>
  <c r="K228" i="3" s="1"/>
  <c r="L228" i="3" s="1"/>
  <c r="A229" i="3" s="1"/>
  <c r="G229" i="3" l="1"/>
  <c r="M227" i="3"/>
  <c r="C229" i="3"/>
  <c r="D229" i="3" s="1"/>
  <c r="E229" i="3" l="1"/>
  <c r="H229" i="3" s="1"/>
  <c r="I229" i="3" l="1"/>
  <c r="J229" i="3" s="1"/>
  <c r="K229" i="3" l="1"/>
  <c r="L229" i="3" s="1"/>
  <c r="A230" i="3" s="1"/>
  <c r="C230" i="3" l="1"/>
  <c r="D230" i="3" s="1"/>
  <c r="E230" i="3"/>
  <c r="G230" i="3"/>
  <c r="H230" i="3" l="1"/>
  <c r="I230" i="3" s="1"/>
  <c r="J230" i="3" s="1"/>
  <c r="K230" i="3" l="1"/>
  <c r="L230" i="3"/>
  <c r="A231" i="3" s="1"/>
  <c r="G231" i="3" l="1"/>
  <c r="C231" i="3"/>
  <c r="D231" i="3" s="1"/>
  <c r="E231" i="3" l="1"/>
  <c r="H231" i="3" s="1"/>
  <c r="I231" i="3" l="1"/>
  <c r="J231" i="3" s="1"/>
  <c r="K231" i="3" l="1"/>
  <c r="L231" i="3" s="1"/>
  <c r="A232" i="3" s="1"/>
  <c r="G232" i="3" l="1"/>
  <c r="M230" i="3"/>
  <c r="C232" i="3"/>
  <c r="D232" i="3" s="1"/>
  <c r="E232" i="3"/>
  <c r="H232" i="3" l="1"/>
  <c r="I232" i="3" l="1"/>
  <c r="J232" i="3" s="1"/>
  <c r="K232" i="3" l="1"/>
  <c r="L232" i="3"/>
  <c r="A233" i="3" s="1"/>
  <c r="G233" i="3" l="1"/>
  <c r="C233" i="3"/>
  <c r="D233" i="3" s="1"/>
  <c r="E233" i="3" l="1"/>
  <c r="H233" i="3" s="1"/>
  <c r="I233" i="3" l="1"/>
  <c r="J233" i="3" s="1"/>
  <c r="K233" i="3" l="1"/>
  <c r="L233" i="3" s="1"/>
  <c r="A234" i="3" s="1"/>
  <c r="G234" i="3" l="1"/>
  <c r="C234" i="3"/>
  <c r="D234" i="3" s="1"/>
  <c r="E234" i="3"/>
  <c r="H234" i="3" l="1"/>
  <c r="I234" i="3"/>
  <c r="J234" i="3" s="1"/>
  <c r="K234" i="3" s="1"/>
  <c r="L234" i="3" s="1"/>
  <c r="A235" i="3" s="1"/>
  <c r="G235" i="3" s="1"/>
  <c r="M233" i="3" l="1"/>
  <c r="C235" i="3"/>
  <c r="D235" i="3" l="1"/>
  <c r="E235" i="3"/>
  <c r="H235" i="3" l="1"/>
  <c r="I235" i="3" l="1"/>
  <c r="J235" i="3"/>
  <c r="K235" i="3" l="1"/>
  <c r="L235" i="3"/>
  <c r="A236" i="3" s="1"/>
  <c r="C236" i="3" l="1"/>
  <c r="G236" i="3"/>
  <c r="D236" i="3" l="1"/>
  <c r="E236" i="3"/>
  <c r="H236" i="3" s="1"/>
  <c r="I236" i="3" s="1"/>
  <c r="J236" i="3" s="1"/>
  <c r="K236" i="3" s="1"/>
  <c r="L236" i="3" s="1"/>
  <c r="A237" i="3" s="1"/>
  <c r="G237" i="3" l="1"/>
  <c r="C237" i="3"/>
  <c r="D237" i="3" s="1"/>
  <c r="E237" i="3"/>
  <c r="H237" i="3" l="1"/>
  <c r="I237" i="3" l="1"/>
  <c r="J237" i="3"/>
  <c r="K237" i="3" l="1"/>
  <c r="L237" i="3"/>
  <c r="A238" i="3" s="1"/>
  <c r="M236" i="3" l="1"/>
  <c r="G238" i="3"/>
  <c r="C238" i="3"/>
  <c r="D238" i="3" s="1"/>
  <c r="E238" i="3"/>
  <c r="H238" i="3" s="1"/>
  <c r="I238" i="3" s="1"/>
  <c r="J238" i="3" s="1"/>
  <c r="K238" i="3"/>
  <c r="L238" i="3"/>
  <c r="A239" i="3" s="1"/>
  <c r="G239" i="3"/>
  <c r="C239" i="3"/>
  <c r="D239" i="3" s="1"/>
  <c r="E239" i="3" l="1"/>
  <c r="H239" i="3" s="1"/>
  <c r="I239" i="3" l="1"/>
  <c r="J239" i="3" s="1"/>
  <c r="K239" i="3" l="1"/>
  <c r="L239" i="3" s="1"/>
  <c r="A240" i="3" s="1"/>
  <c r="G240" i="3" l="1"/>
  <c r="C240" i="3"/>
  <c r="D240" i="3" s="1"/>
  <c r="E240" i="3" l="1"/>
  <c r="H240" i="3" s="1"/>
  <c r="I240" i="3" l="1"/>
  <c r="J240" i="3" s="1"/>
  <c r="K240" i="3" l="1"/>
  <c r="L240" i="3" s="1"/>
  <c r="A241" i="3" s="1"/>
  <c r="G241" i="3" l="1"/>
  <c r="C241" i="3"/>
  <c r="D241" i="3" s="1"/>
  <c r="M239" i="3"/>
  <c r="E241" i="3" l="1"/>
  <c r="H241" i="3" s="1"/>
  <c r="I241" i="3" l="1"/>
  <c r="J241" i="3" s="1"/>
  <c r="K241" i="3" s="1"/>
  <c r="L241" i="3" s="1"/>
  <c r="A242" i="3" s="1"/>
  <c r="G242" i="3" l="1"/>
  <c r="C242" i="3"/>
  <c r="D242" i="3" s="1"/>
  <c r="E242" i="3" l="1"/>
  <c r="H242" i="3"/>
  <c r="I242" i="3" s="1"/>
  <c r="J242" i="3" s="1"/>
  <c r="K242" i="3" s="1"/>
  <c r="L242" i="3" s="1"/>
  <c r="A243" i="3" s="1"/>
  <c r="G243" i="3" l="1"/>
  <c r="C243" i="3"/>
  <c r="D243" i="3" s="1"/>
  <c r="E243" i="3" l="1"/>
  <c r="H243" i="3"/>
  <c r="I243" i="3" l="1"/>
  <c r="J243" i="3" s="1"/>
  <c r="K243" i="3" l="1"/>
  <c r="L243" i="3" s="1"/>
  <c r="A244" i="3" s="1"/>
  <c r="G244" i="3" l="1"/>
  <c r="M242" i="3"/>
  <c r="C244" i="3"/>
  <c r="D244" i="3" s="1"/>
  <c r="E244" i="3" l="1"/>
  <c r="H244" i="3" s="1"/>
  <c r="I244" i="3" l="1"/>
  <c r="J244" i="3" s="1"/>
  <c r="K244" i="3" s="1"/>
  <c r="L244" i="3" s="1"/>
  <c r="A245" i="3" s="1"/>
  <c r="G245" i="3" l="1"/>
  <c r="C245" i="3"/>
  <c r="D245" i="3" s="1"/>
  <c r="E245" i="3" l="1"/>
  <c r="H245" i="3" s="1"/>
  <c r="I245" i="3" l="1"/>
  <c r="J245" i="3" s="1"/>
  <c r="K245" i="3" l="1"/>
  <c r="L245" i="3" s="1"/>
  <c r="A246" i="3" s="1"/>
  <c r="C246" i="3" l="1"/>
  <c r="D246" i="3" s="1"/>
  <c r="G246" i="3"/>
  <c r="E246" i="3" l="1"/>
  <c r="H246" i="3" s="1"/>
  <c r="I246" i="3" s="1"/>
  <c r="J246" i="3" s="1"/>
  <c r="K246" i="3" l="1"/>
  <c r="L246" i="3" s="1"/>
  <c r="A247" i="3" s="1"/>
  <c r="G247" i="3" l="1"/>
  <c r="C247" i="3"/>
  <c r="D247" i="3" s="1"/>
  <c r="M245" i="3"/>
  <c r="E247" i="3" l="1"/>
  <c r="H247" i="3" s="1"/>
  <c r="I247" i="3" s="1"/>
  <c r="J247" i="3" l="1"/>
  <c r="K247" i="3" s="1"/>
  <c r="L247" i="3" s="1"/>
  <c r="A248" i="3" s="1"/>
  <c r="G248" i="3"/>
  <c r="C248" i="3"/>
  <c r="D248" i="3" s="1"/>
  <c r="E248" i="3" l="1"/>
  <c r="H248" i="3"/>
  <c r="I248" i="3" l="1"/>
  <c r="J248" i="3"/>
  <c r="K248" i="3" l="1"/>
  <c r="L248" i="3" s="1"/>
  <c r="A249" i="3" s="1"/>
  <c r="G249" i="3" l="1"/>
  <c r="C249" i="3"/>
  <c r="D249" i="3" s="1"/>
  <c r="E249" i="3" l="1"/>
  <c r="H249" i="3" s="1"/>
  <c r="I249" i="3" l="1"/>
  <c r="J249" i="3" s="1"/>
  <c r="K249" i="3" l="1"/>
  <c r="L249" i="3" s="1"/>
  <c r="A250" i="3" s="1"/>
  <c r="G250" i="3" l="1"/>
  <c r="C250" i="3"/>
  <c r="D250" i="3" s="1"/>
  <c r="M248" i="3"/>
  <c r="E250" i="3" l="1"/>
  <c r="H250" i="3" s="1"/>
  <c r="I250" i="3" l="1"/>
  <c r="J250" i="3" s="1"/>
  <c r="K250" i="3" s="1"/>
  <c r="L250" i="3" s="1"/>
  <c r="A251" i="3" s="1"/>
  <c r="G251" i="3" l="1"/>
  <c r="C251" i="3"/>
  <c r="D251" i="3" s="1"/>
  <c r="E251" i="3" l="1"/>
  <c r="H251" i="3" s="1"/>
  <c r="I251" i="3" l="1"/>
  <c r="J251" i="3" s="1"/>
  <c r="K251" i="3" l="1"/>
  <c r="L251" i="3" s="1"/>
  <c r="A252" i="3" s="1"/>
  <c r="G252" i="3" l="1"/>
  <c r="C252" i="3"/>
  <c r="D252" i="3" s="1"/>
  <c r="E252" i="3" l="1"/>
  <c r="H252" i="3" s="1"/>
  <c r="I252" i="3" l="1"/>
  <c r="J252" i="3" s="1"/>
  <c r="K252" i="3" s="1"/>
  <c r="L252" i="3" s="1"/>
  <c r="A253" i="3" s="1"/>
  <c r="C253" i="3" l="1"/>
  <c r="D253" i="3" s="1"/>
  <c r="G253" i="3"/>
  <c r="M251" i="3"/>
  <c r="E253" i="3" l="1"/>
  <c r="H253" i="3" s="1"/>
  <c r="I253" i="3" l="1"/>
  <c r="J253" i="3" s="1"/>
  <c r="K253" i="3" s="1"/>
  <c r="L253" i="3" s="1"/>
  <c r="A254" i="3" s="1"/>
  <c r="G254" i="3" l="1"/>
  <c r="C254" i="3"/>
  <c r="D254" i="3" s="1"/>
  <c r="E254" i="3"/>
  <c r="H254" i="3" l="1"/>
  <c r="I254" i="3" s="1"/>
  <c r="J254" i="3" s="1"/>
  <c r="K254" i="3" l="1"/>
  <c r="L254" i="3" s="1"/>
  <c r="A255" i="3" s="1"/>
  <c r="C255" i="3" l="1"/>
  <c r="D255" i="3" s="1"/>
  <c r="G255" i="3"/>
  <c r="E255" i="3" l="1"/>
  <c r="H255" i="3" s="1"/>
  <c r="I255" i="3" l="1"/>
  <c r="J255" i="3" s="1"/>
  <c r="K255" i="3" l="1"/>
  <c r="L255" i="3" s="1"/>
  <c r="A256" i="3" s="1"/>
  <c r="G256" i="3" l="1"/>
  <c r="C256" i="3"/>
  <c r="D256" i="3" s="1"/>
  <c r="M254" i="3"/>
  <c r="E256" i="3" l="1"/>
  <c r="H256" i="3" s="1"/>
  <c r="I256" i="3" s="1"/>
  <c r="J256" i="3" s="1"/>
  <c r="K256" i="3" l="1"/>
  <c r="L256" i="3" s="1"/>
  <c r="A257" i="3" s="1"/>
  <c r="G257" i="3" l="1"/>
  <c r="C257" i="3"/>
  <c r="D257" i="3" s="1"/>
  <c r="E257" i="3" l="1"/>
  <c r="H257" i="3" s="1"/>
  <c r="I257" i="3" l="1"/>
  <c r="J257" i="3" s="1"/>
  <c r="K257" i="3" l="1"/>
  <c r="L257" i="3" s="1"/>
  <c r="A258" i="3" s="1"/>
  <c r="G258" i="3" l="1"/>
  <c r="C258" i="3"/>
  <c r="D258" i="3" s="1"/>
  <c r="E258" i="3" l="1"/>
  <c r="H258" i="3"/>
  <c r="I258" i="3"/>
  <c r="J258" i="3" s="1"/>
  <c r="K258" i="3" s="1"/>
  <c r="L258" i="3" s="1"/>
  <c r="A259" i="3" s="1"/>
  <c r="G259" i="3" l="1"/>
  <c r="C259" i="3"/>
  <c r="D259" i="3" s="1"/>
  <c r="E259" i="3"/>
  <c r="M257" i="3"/>
  <c r="H259" i="3" l="1"/>
  <c r="I259" i="3" l="1"/>
  <c r="J259" i="3"/>
  <c r="K259" i="3" l="1"/>
  <c r="L259" i="3" s="1"/>
  <c r="A260" i="3" s="1"/>
  <c r="G260" i="3" l="1"/>
  <c r="C260" i="3"/>
  <c r="D260" i="3" s="1"/>
  <c r="E260" i="3" l="1"/>
  <c r="H260" i="3" s="1"/>
  <c r="I260" i="3" l="1"/>
  <c r="J260" i="3" s="1"/>
  <c r="K260" i="3" l="1"/>
  <c r="L260" i="3"/>
  <c r="A261" i="3" s="1"/>
  <c r="G261" i="3" l="1"/>
  <c r="C261" i="3"/>
  <c r="D261" i="3" s="1"/>
  <c r="E261" i="3" l="1"/>
  <c r="H261" i="3" s="1"/>
  <c r="I261" i="3" l="1"/>
  <c r="J261" i="3" s="1"/>
  <c r="K261" i="3" l="1"/>
  <c r="L261" i="3" s="1"/>
  <c r="A262" i="3" s="1"/>
  <c r="G262" i="3" l="1"/>
  <c r="C262" i="3"/>
  <c r="D262" i="3" s="1"/>
  <c r="M260" i="3"/>
  <c r="E262" i="3" l="1"/>
  <c r="H262" i="3" s="1"/>
  <c r="I262" i="3" l="1"/>
  <c r="J262" i="3" s="1"/>
  <c r="K262" i="3" s="1"/>
  <c r="L262" i="3" s="1"/>
  <c r="A263" i="3" s="1"/>
  <c r="G263" i="3" l="1"/>
  <c r="C263" i="3"/>
  <c r="D263" i="3" s="1"/>
  <c r="E263" i="3" l="1"/>
  <c r="H263" i="3" s="1"/>
  <c r="I263" i="3" l="1"/>
  <c r="J263" i="3" s="1"/>
  <c r="K263" i="3" l="1"/>
  <c r="L263" i="3"/>
  <c r="A264" i="3" s="1"/>
  <c r="G264" i="3" s="1"/>
  <c r="C264" i="3"/>
  <c r="D264" i="3" s="1"/>
  <c r="E264" i="3" l="1"/>
  <c r="H264" i="3" l="1"/>
  <c r="I264" i="3" s="1"/>
  <c r="J264" i="3" s="1"/>
  <c r="K264" i="3" l="1"/>
  <c r="L264" i="3" s="1"/>
  <c r="A265" i="3" s="1"/>
  <c r="G265" i="3" s="1"/>
  <c r="M263" i="3" l="1"/>
  <c r="C265" i="3"/>
  <c r="D265" i="3" s="1"/>
  <c r="E265" i="3" l="1"/>
  <c r="H265" i="3" s="1"/>
  <c r="I265" i="3" s="1"/>
  <c r="J265" i="3" s="1"/>
  <c r="K265" i="3" s="1"/>
  <c r="L265" i="3" s="1"/>
  <c r="A266" i="3" s="1"/>
  <c r="G266" i="3" l="1"/>
  <c r="C266" i="3"/>
  <c r="D266" i="3" s="1"/>
  <c r="E266" i="3" l="1"/>
  <c r="H266" i="3"/>
  <c r="I266" i="3"/>
  <c r="J266" i="3" s="1"/>
  <c r="K266" i="3" s="1"/>
  <c r="L266" i="3" s="1"/>
  <c r="A267" i="3" s="1"/>
  <c r="G267" i="3" l="1"/>
  <c r="C267" i="3"/>
  <c r="D267" i="3" s="1"/>
  <c r="E267" i="3" l="1"/>
  <c r="H267" i="3"/>
  <c r="I267" i="3" l="1"/>
  <c r="J267" i="3" s="1"/>
  <c r="K267" i="3" l="1"/>
  <c r="L267" i="3"/>
  <c r="A268" i="3" s="1"/>
  <c r="G268" i="3" l="1"/>
  <c r="C268" i="3"/>
  <c r="D268" i="3" s="1"/>
  <c r="M266" i="3"/>
  <c r="E268" i="3" l="1"/>
  <c r="H268" i="3" s="1"/>
  <c r="I268" i="3" s="1"/>
  <c r="J268" i="3" s="1"/>
  <c r="K268" i="3" l="1"/>
  <c r="L268" i="3" s="1"/>
  <c r="A269" i="3" s="1"/>
  <c r="G269" i="3" l="1"/>
  <c r="C269" i="3"/>
  <c r="D269" i="3" s="1"/>
  <c r="E269" i="3"/>
  <c r="H269" i="3" l="1"/>
  <c r="I269" i="3" l="1"/>
  <c r="J269" i="3" s="1"/>
  <c r="K269" i="3" s="1"/>
  <c r="L269" i="3" s="1"/>
  <c r="A270" i="3" s="1"/>
  <c r="G270" i="3" l="1"/>
  <c r="C270" i="3"/>
  <c r="D270" i="3" s="1"/>
  <c r="E270" i="3" l="1"/>
  <c r="H270" i="3" s="1"/>
  <c r="I270" i="3" s="1"/>
  <c r="J270" i="3" s="1"/>
  <c r="K270" i="3" s="1"/>
  <c r="L270" i="3" s="1"/>
  <c r="A271" i="3" s="1"/>
  <c r="G271" i="3" l="1"/>
  <c r="C271" i="3"/>
  <c r="D271" i="3" s="1"/>
  <c r="M269" i="3"/>
  <c r="E271" i="3" l="1"/>
  <c r="H271" i="3" s="1"/>
  <c r="I271" i="3" l="1"/>
  <c r="J271" i="3" s="1"/>
  <c r="K271" i="3" l="1"/>
  <c r="L271" i="3" s="1"/>
  <c r="A272" i="3" s="1"/>
  <c r="G272" i="3" l="1"/>
  <c r="C272" i="3"/>
  <c r="D272" i="3" s="1"/>
  <c r="E272" i="3" l="1"/>
  <c r="H272" i="3" s="1"/>
  <c r="I272" i="3" l="1"/>
  <c r="J272" i="3" s="1"/>
  <c r="K272" i="3" l="1"/>
  <c r="L272" i="3" s="1"/>
  <c r="A273" i="3" s="1"/>
  <c r="G273" i="3" l="1"/>
  <c r="C273" i="3"/>
  <c r="D273" i="3" s="1"/>
  <c r="E273" i="3" l="1"/>
  <c r="H273" i="3" s="1"/>
  <c r="I273" i="3" s="1"/>
  <c r="J273" i="3" s="1"/>
  <c r="K273" i="3" l="1"/>
  <c r="L273" i="3" s="1"/>
  <c r="A274" i="3" s="1"/>
  <c r="G274" i="3" l="1"/>
  <c r="C274" i="3"/>
  <c r="D274" i="3" s="1"/>
  <c r="M272" i="3"/>
  <c r="E274" i="3" l="1"/>
  <c r="H274" i="3"/>
  <c r="I274" i="3" l="1"/>
  <c r="J274" i="3"/>
  <c r="K274" i="3" s="1"/>
  <c r="L274" i="3" s="1"/>
  <c r="A275" i="3" s="1"/>
  <c r="C275" i="3" l="1"/>
  <c r="D275" i="3" s="1"/>
  <c r="G275" i="3"/>
  <c r="E275" i="3"/>
  <c r="H275" i="3" l="1"/>
  <c r="I275" i="3" l="1"/>
  <c r="J275" i="3" s="1"/>
  <c r="K275" i="3" l="1"/>
  <c r="L275" i="3" s="1"/>
  <c r="A276" i="3" s="1"/>
  <c r="G276" i="3" l="1"/>
  <c r="C276" i="3"/>
  <c r="D276" i="3" s="1"/>
  <c r="E276" i="3"/>
  <c r="H276" i="3" l="1"/>
  <c r="I276" i="3" s="1"/>
  <c r="J276" i="3" s="1"/>
  <c r="K276" i="3" l="1"/>
  <c r="L276" i="3" s="1"/>
  <c r="A277" i="3" s="1"/>
  <c r="G277" i="3" l="1"/>
  <c r="C277" i="3"/>
  <c r="D277" i="3" s="1"/>
  <c r="E277" i="3"/>
  <c r="M275" i="3"/>
  <c r="H277" i="3" l="1"/>
  <c r="I277" i="3" l="1"/>
  <c r="J277" i="3" s="1"/>
  <c r="K277" i="3" l="1"/>
  <c r="L277" i="3" s="1"/>
  <c r="A278" i="3" s="1"/>
  <c r="G278" i="3" l="1"/>
  <c r="C278" i="3"/>
  <c r="D278" i="3" s="1"/>
  <c r="E278" i="3" l="1"/>
  <c r="H278" i="3" s="1"/>
  <c r="I278" i="3" l="1"/>
  <c r="J278" i="3" s="1"/>
  <c r="K278" i="3" s="1"/>
  <c r="L278" i="3" s="1"/>
  <c r="A279" i="3" s="1"/>
  <c r="G279" i="3" l="1"/>
  <c r="C279" i="3"/>
  <c r="D279" i="3" s="1"/>
  <c r="E279" i="3"/>
  <c r="H279" i="3" l="1"/>
  <c r="I279" i="3" l="1"/>
  <c r="J279" i="3" s="1"/>
  <c r="K279" i="3" l="1"/>
  <c r="L279" i="3" s="1"/>
  <c r="A280" i="3" s="1"/>
  <c r="G280" i="3" l="1"/>
  <c r="C280" i="3"/>
  <c r="D280" i="3" s="1"/>
  <c r="M278" i="3"/>
  <c r="E280" i="3" l="1"/>
  <c r="H280" i="3"/>
  <c r="I280" i="3" l="1"/>
  <c r="J280" i="3" s="1"/>
  <c r="K280" i="3" s="1"/>
  <c r="L280" i="3" s="1"/>
  <c r="A281" i="3" s="1"/>
  <c r="G281" i="3" l="1"/>
  <c r="C281" i="3"/>
  <c r="D281" i="3" s="1"/>
  <c r="E281" i="3" l="1"/>
  <c r="H281" i="3" s="1"/>
  <c r="I281" i="3" l="1"/>
  <c r="J281" i="3"/>
  <c r="K281" i="3" s="1"/>
  <c r="L281" i="3" s="1"/>
  <c r="A282" i="3" s="1"/>
  <c r="C282" i="3" l="1"/>
  <c r="D282" i="3" s="1"/>
  <c r="G282" i="3"/>
  <c r="E282" i="3" l="1"/>
  <c r="H282" i="3" s="1"/>
  <c r="I282" i="3" s="1"/>
  <c r="J282" i="3" s="1"/>
  <c r="K282" i="3" s="1"/>
  <c r="L282" i="3" s="1"/>
  <c r="A283" i="3" s="1"/>
  <c r="M281" i="3" s="1"/>
  <c r="C283" i="3" l="1"/>
  <c r="D283" i="3" s="1"/>
  <c r="G283" i="3"/>
  <c r="E283" i="3" l="1"/>
  <c r="H283" i="3"/>
  <c r="I283" i="3" l="1"/>
  <c r="J283" i="3"/>
  <c r="K283" i="3" s="1"/>
  <c r="L283" i="3" s="1"/>
  <c r="A284" i="3" s="1"/>
  <c r="G284" i="3" l="1"/>
  <c r="C284" i="3"/>
  <c r="D284" i="3" s="1"/>
  <c r="E284" i="3" l="1"/>
  <c r="H284" i="3" s="1"/>
  <c r="I284" i="3" l="1"/>
  <c r="J284" i="3" s="1"/>
  <c r="K284" i="3" l="1"/>
  <c r="L284" i="3" s="1"/>
  <c r="A285" i="3" s="1"/>
  <c r="C285" i="3" l="1"/>
  <c r="D285" i="3" s="1"/>
  <c r="G285" i="3"/>
  <c r="E285" i="3" l="1"/>
  <c r="H285" i="3" s="1"/>
  <c r="I285" i="3" s="1"/>
  <c r="J285" i="3" s="1"/>
  <c r="K285" i="3"/>
  <c r="L285" i="3" s="1"/>
  <c r="A286" i="3" s="1"/>
  <c r="M284" i="3" s="1"/>
  <c r="G286" i="3" l="1"/>
  <c r="C286" i="3"/>
  <c r="D286" i="3" s="1"/>
  <c r="E286" i="3"/>
  <c r="H286" i="3" l="1"/>
  <c r="I286" i="3" s="1"/>
  <c r="J286" i="3" s="1"/>
  <c r="K286" i="3" l="1"/>
  <c r="L286" i="3" s="1"/>
  <c r="A287" i="3" s="1"/>
  <c r="C287" i="3" l="1"/>
  <c r="D287" i="3" s="1"/>
  <c r="G287" i="3"/>
  <c r="E287" i="3" l="1"/>
  <c r="H287" i="3" s="1"/>
  <c r="I287" i="3" s="1"/>
  <c r="J287" i="3" s="1"/>
  <c r="K287" i="3" l="1"/>
  <c r="L287" i="3" s="1"/>
  <c r="A288" i="3" s="1"/>
  <c r="G288" i="3" l="1"/>
  <c r="C288" i="3"/>
  <c r="D288" i="3" s="1"/>
  <c r="E288" i="3" l="1"/>
  <c r="H288" i="3" s="1"/>
  <c r="I288" i="3" s="1"/>
  <c r="J288" i="3" s="1"/>
  <c r="K288" i="3" l="1"/>
  <c r="L288" i="3" s="1"/>
  <c r="A289" i="3" s="1"/>
  <c r="M287" i="3" s="1"/>
  <c r="C289" i="3" l="1"/>
  <c r="D289" i="3" s="1"/>
  <c r="G289" i="3"/>
  <c r="E289" i="3" l="1"/>
  <c r="H289" i="3" s="1"/>
  <c r="I289" i="3" s="1"/>
  <c r="J289" i="3" s="1"/>
  <c r="K289" i="3" l="1"/>
  <c r="L289" i="3" s="1"/>
  <c r="A290" i="3" s="1"/>
  <c r="G290" i="3" l="1"/>
  <c r="C290" i="3"/>
  <c r="D290" i="3" s="1"/>
  <c r="E290" i="3" l="1"/>
  <c r="H290" i="3" s="1"/>
  <c r="I290" i="3" l="1"/>
  <c r="J290" i="3" s="1"/>
  <c r="K290" i="3" l="1"/>
  <c r="L290" i="3" s="1"/>
  <c r="A291" i="3" s="1"/>
  <c r="G291" i="3" l="1"/>
  <c r="C291" i="3"/>
  <c r="D291" i="3" s="1"/>
  <c r="E291" i="3"/>
  <c r="H291" i="3" l="1"/>
  <c r="I291" i="3" l="1"/>
  <c r="J291" i="3"/>
  <c r="K291" i="3" l="1"/>
  <c r="L291" i="3" s="1"/>
  <c r="A292" i="3" s="1"/>
  <c r="M290" i="3" s="1"/>
  <c r="C292" i="3" l="1"/>
  <c r="D292" i="3" s="1"/>
  <c r="G292" i="3"/>
  <c r="E292" i="3" l="1"/>
  <c r="H292" i="3"/>
  <c r="I292" i="3" s="1"/>
  <c r="J292" i="3" s="1"/>
  <c r="K292" i="3" s="1"/>
  <c r="L292" i="3" s="1"/>
  <c r="A293" i="3" s="1"/>
  <c r="G293" i="3" l="1"/>
  <c r="C293" i="3"/>
  <c r="D293" i="3" s="1"/>
  <c r="E293" i="3" l="1"/>
  <c r="H293" i="3"/>
  <c r="I293" i="3" l="1"/>
  <c r="J293" i="3" s="1"/>
  <c r="K293" i="3" s="1"/>
  <c r="L293" i="3" s="1"/>
  <c r="A294" i="3" s="1"/>
  <c r="G294" i="3" l="1"/>
  <c r="C294" i="3"/>
  <c r="D294" i="3" s="1"/>
  <c r="E294" i="3"/>
  <c r="H294" i="3" l="1"/>
  <c r="I294" i="3" s="1"/>
  <c r="J294" i="3" l="1"/>
  <c r="K294" i="3" s="1"/>
  <c r="L294" i="3" s="1"/>
  <c r="A295" i="3" s="1"/>
  <c r="M293" i="3" s="1"/>
  <c r="C295" i="3" l="1"/>
  <c r="D295" i="3" s="1"/>
  <c r="G295" i="3"/>
  <c r="E295" i="3" l="1"/>
  <c r="H295" i="3"/>
  <c r="I295" i="3" l="1"/>
  <c r="J295" i="3" s="1"/>
  <c r="K295" i="3" l="1"/>
  <c r="L295" i="3" s="1"/>
  <c r="A296" i="3" s="1"/>
  <c r="C296" i="3" l="1"/>
  <c r="D296" i="3" s="1"/>
  <c r="G296" i="3"/>
  <c r="E296" i="3"/>
  <c r="H296" i="3" s="1"/>
  <c r="I296" i="3" s="1"/>
  <c r="J296" i="3" s="1"/>
  <c r="K296" i="3" s="1"/>
  <c r="L296" i="3" s="1"/>
  <c r="A297" i="3" s="1"/>
  <c r="C297" i="3" l="1"/>
  <c r="D297" i="3" s="1"/>
  <c r="G297" i="3"/>
  <c r="E297" i="3" l="1"/>
  <c r="H297" i="3" s="1"/>
  <c r="I297" i="3"/>
  <c r="J297" i="3" l="1"/>
  <c r="K297" i="3"/>
  <c r="L297" i="3" s="1"/>
  <c r="A298" i="3" s="1"/>
  <c r="M296" i="3" s="1"/>
  <c r="G298" i="3" l="1"/>
  <c r="C298" i="3"/>
  <c r="D298" i="3" s="1"/>
  <c r="E298" i="3"/>
  <c r="H298" i="3" s="1"/>
  <c r="I298" i="3" l="1"/>
  <c r="J298" i="3" s="1"/>
  <c r="K298" i="3" l="1"/>
  <c r="L298" i="3" s="1"/>
  <c r="A299" i="3" s="1"/>
  <c r="C299" i="3" l="1"/>
  <c r="D299" i="3" s="1"/>
  <c r="G299" i="3"/>
  <c r="E299" i="3" l="1"/>
  <c r="H299" i="3" s="1"/>
  <c r="I299" i="3" s="1"/>
  <c r="J299" i="3" s="1"/>
  <c r="K299" i="3" s="1"/>
  <c r="L299" i="3" s="1"/>
  <c r="A300" i="3" s="1"/>
  <c r="C300" i="3" l="1"/>
  <c r="D300" i="3" s="1"/>
  <c r="G300" i="3"/>
  <c r="E300" i="3" l="1"/>
  <c r="H300" i="3" s="1"/>
  <c r="I300" i="3" s="1"/>
  <c r="J300" i="3" s="1"/>
  <c r="K300" i="3" s="1"/>
  <c r="L300" i="3" l="1"/>
  <c r="A301" i="3" s="1"/>
  <c r="M299" i="3" s="1"/>
  <c r="G301" i="3" l="1"/>
  <c r="C301" i="3"/>
  <c r="D301" i="3" s="1"/>
  <c r="E301" i="3" l="1"/>
  <c r="H301" i="3" s="1"/>
  <c r="I301" i="3" s="1"/>
  <c r="J301" i="3" l="1"/>
  <c r="K301" i="3" s="1"/>
  <c r="L301" i="3" s="1"/>
  <c r="A302" i="3" s="1"/>
  <c r="G302" i="3"/>
  <c r="C302" i="3"/>
  <c r="D302" i="3" s="1"/>
  <c r="E302" i="3"/>
  <c r="H302" i="3" s="1"/>
  <c r="I302" i="3" l="1"/>
  <c r="J302" i="3"/>
  <c r="K302" i="3" l="1"/>
  <c r="L302" i="3" s="1"/>
  <c r="A303" i="3" s="1"/>
  <c r="C303" i="3" l="1"/>
  <c r="D303" i="3" s="1"/>
  <c r="G303" i="3"/>
  <c r="E303" i="3" l="1"/>
  <c r="H303" i="3" s="1"/>
  <c r="I303" i="3" l="1"/>
  <c r="J303" i="3" s="1"/>
  <c r="K303" i="3" l="1"/>
  <c r="L303" i="3" s="1"/>
  <c r="A304" i="3" s="1"/>
  <c r="M302" i="3" s="1"/>
  <c r="C304" i="3" l="1"/>
  <c r="D304" i="3" s="1"/>
  <c r="G304" i="3"/>
  <c r="E304" i="3" l="1"/>
  <c r="H304" i="3" s="1"/>
  <c r="I304" i="3" s="1"/>
  <c r="J304" i="3" s="1"/>
  <c r="K304" i="3" s="1"/>
  <c r="L304" i="3" s="1"/>
  <c r="A305" i="3" s="1"/>
  <c r="C305" i="3" l="1"/>
  <c r="D305" i="3" s="1"/>
  <c r="G305" i="3"/>
  <c r="E305" i="3" l="1"/>
  <c r="H305" i="3"/>
  <c r="I305" i="3" s="1"/>
  <c r="J305" i="3" s="1"/>
  <c r="K305" i="3" s="1"/>
  <c r="L305" i="3" s="1"/>
  <c r="A306" i="3" s="1"/>
  <c r="G306" i="3" l="1"/>
  <c r="C306" i="3"/>
  <c r="D306" i="3" s="1"/>
  <c r="E306" i="3"/>
  <c r="H306" i="3" s="1"/>
  <c r="I306" i="3" l="1"/>
  <c r="J306" i="3" s="1"/>
  <c r="K306" i="3" l="1"/>
  <c r="L306" i="3" s="1"/>
  <c r="A307" i="3" s="1"/>
  <c r="M305" i="3" s="1"/>
  <c r="G307" i="3" l="1"/>
  <c r="C307" i="3"/>
  <c r="D307" i="3" s="1"/>
  <c r="E307" i="3"/>
  <c r="H307" i="3" l="1"/>
  <c r="I307" i="3"/>
  <c r="J307" i="3" l="1"/>
  <c r="K307" i="3" s="1"/>
  <c r="L307" i="3" s="1"/>
  <c r="A308" i="3" s="1"/>
  <c r="C308" i="3" s="1"/>
  <c r="D308" i="3" s="1"/>
  <c r="G308" i="3"/>
  <c r="E308" i="3" l="1"/>
  <c r="H308" i="3" s="1"/>
  <c r="I308" i="3" s="1"/>
  <c r="J308" i="3" s="1"/>
  <c r="K308" i="3" s="1"/>
  <c r="L308" i="3" s="1"/>
  <c r="A309" i="3" s="1"/>
  <c r="C309" i="3" s="1"/>
  <c r="D309" i="3" s="1"/>
  <c r="G309" i="3" l="1"/>
  <c r="E309" i="3"/>
  <c r="H309" i="3" s="1"/>
  <c r="I309" i="3" l="1"/>
  <c r="J309" i="3"/>
  <c r="K309" i="3" s="1"/>
  <c r="L309" i="3" s="1"/>
  <c r="A310" i="3" s="1"/>
  <c r="M308" i="3" s="1"/>
  <c r="G310" i="3" l="1"/>
  <c r="C310" i="3"/>
  <c r="D310" i="3" s="1"/>
  <c r="E310" i="3" l="1"/>
  <c r="H310" i="3" s="1"/>
  <c r="I310" i="3"/>
  <c r="J310" i="3"/>
  <c r="K310" i="3" s="1"/>
  <c r="L310" i="3" s="1"/>
  <c r="A311" i="3" s="1"/>
  <c r="G311" i="3" l="1"/>
  <c r="C311" i="3"/>
  <c r="D311" i="3" s="1"/>
  <c r="E311" i="3"/>
  <c r="H311" i="3" l="1"/>
  <c r="I311" i="3" s="1"/>
  <c r="J311" i="3" s="1"/>
  <c r="K311" i="3" l="1"/>
  <c r="L311" i="3" s="1"/>
  <c r="A312" i="3" s="1"/>
  <c r="C312" i="3" l="1"/>
  <c r="D312" i="3" s="1"/>
  <c r="G312" i="3"/>
  <c r="E312" i="3"/>
  <c r="H312" i="3" s="1"/>
  <c r="I312" i="3" s="1"/>
  <c r="J312" i="3" s="1"/>
  <c r="K312" i="3" s="1"/>
  <c r="L312" i="3" s="1"/>
  <c r="A313" i="3" s="1"/>
  <c r="M311" i="3" s="1"/>
  <c r="G313" i="3" l="1"/>
  <c r="C313" i="3"/>
  <c r="D313" i="3" s="1"/>
  <c r="E313" i="3" l="1"/>
  <c r="H313" i="3"/>
  <c r="I313" i="3" l="1"/>
  <c r="J313" i="3"/>
  <c r="K313" i="3" l="1"/>
  <c r="L313" i="3" s="1"/>
  <c r="A314" i="3" s="1"/>
  <c r="G314" i="3" l="1"/>
  <c r="C314" i="3"/>
  <c r="D314" i="3" s="1"/>
  <c r="E314" i="3"/>
  <c r="H314" i="3" l="1"/>
  <c r="I314" i="3" s="1"/>
  <c r="J314" i="3" l="1"/>
  <c r="K314" i="3" s="1"/>
  <c r="L314" i="3" s="1"/>
  <c r="A315" i="3" s="1"/>
  <c r="C315" i="3" l="1"/>
  <c r="D315" i="3" s="1"/>
  <c r="G315" i="3"/>
  <c r="E315" i="3" l="1"/>
  <c r="H315" i="3" s="1"/>
  <c r="I315" i="3" s="1"/>
  <c r="J315" i="3" s="1"/>
  <c r="K315" i="3" s="1"/>
  <c r="L315" i="3" l="1"/>
  <c r="A316" i="3" s="1"/>
  <c r="M314" i="3" s="1"/>
  <c r="G316" i="3"/>
  <c r="C316" i="3"/>
  <c r="D316" i="3" s="1"/>
  <c r="E316" i="3" l="1"/>
  <c r="H316" i="3" s="1"/>
  <c r="I316" i="3" s="1"/>
  <c r="J316" i="3" s="1"/>
  <c r="K316" i="3" s="1"/>
  <c r="L316" i="3" l="1"/>
  <c r="A317" i="3" s="1"/>
  <c r="G317" i="3" l="1"/>
  <c r="C317" i="3"/>
  <c r="D317" i="3" s="1"/>
  <c r="E317" i="3" l="1"/>
  <c r="H317" i="3" s="1"/>
  <c r="I317" i="3" l="1"/>
  <c r="J317" i="3" s="1"/>
  <c r="K317" i="3" s="1"/>
  <c r="L317" i="3" s="1"/>
  <c r="A318" i="3" s="1"/>
  <c r="G318" i="3" l="1"/>
  <c r="C318" i="3"/>
  <c r="D318" i="3" s="1"/>
  <c r="E318" i="3"/>
  <c r="H318" i="3" s="1"/>
  <c r="I318" i="3" s="1"/>
  <c r="J318" i="3" s="1"/>
  <c r="K318" i="3" l="1"/>
  <c r="L318" i="3" s="1"/>
  <c r="A319" i="3" s="1"/>
  <c r="M317" i="3" s="1"/>
  <c r="C319" i="3" l="1"/>
  <c r="D319" i="3" s="1"/>
  <c r="G319" i="3"/>
  <c r="E319" i="3" l="1"/>
  <c r="H319" i="3"/>
  <c r="I319" i="3" l="1"/>
  <c r="J319" i="3" s="1"/>
  <c r="K319" i="3" l="1"/>
  <c r="L319" i="3"/>
  <c r="A320" i="3" s="1"/>
  <c r="C320" i="3" l="1"/>
  <c r="D320" i="3" s="1"/>
  <c r="G320" i="3"/>
  <c r="E320" i="3" l="1"/>
  <c r="H320" i="3" s="1"/>
  <c r="I320" i="3" s="1"/>
  <c r="J320" i="3" l="1"/>
  <c r="K320" i="3" s="1"/>
  <c r="L320" i="3" s="1"/>
  <c r="A321" i="3" s="1"/>
  <c r="C321" i="3" s="1"/>
  <c r="D321" i="3" s="1"/>
  <c r="G321" i="3" l="1"/>
  <c r="E321" i="3"/>
  <c r="H321" i="3"/>
  <c r="I321" i="3" l="1"/>
  <c r="J321" i="3" s="1"/>
  <c r="K321" i="3" s="1"/>
  <c r="L321" i="3" s="1"/>
  <c r="A322" i="3" s="1"/>
  <c r="M320" i="3" s="1"/>
  <c r="G322" i="3" l="1"/>
  <c r="C322" i="3"/>
  <c r="D322" i="3" s="1"/>
  <c r="E322" i="3"/>
  <c r="H322" i="3" s="1"/>
  <c r="I322" i="3" l="1"/>
  <c r="J322" i="3" s="1"/>
  <c r="K322" i="3" l="1"/>
  <c r="L322" i="3"/>
  <c r="A323" i="3" s="1"/>
  <c r="C323" i="3" l="1"/>
  <c r="D323" i="3" s="1"/>
  <c r="G323" i="3"/>
  <c r="E323" i="3"/>
  <c r="H323" i="3" s="1"/>
  <c r="I323" i="3" l="1"/>
  <c r="J323" i="3"/>
  <c r="K323" i="3" s="1"/>
  <c r="L323" i="3" s="1"/>
  <c r="A324" i="3" s="1"/>
  <c r="C324" i="3" l="1"/>
  <c r="D324" i="3" s="1"/>
  <c r="G324" i="3"/>
  <c r="E324" i="3" l="1"/>
  <c r="H324" i="3" s="1"/>
  <c r="I324" i="3" s="1"/>
  <c r="J324" i="3" s="1"/>
  <c r="K324" i="3" s="1"/>
  <c r="L324" i="3" s="1"/>
  <c r="A325" i="3" s="1"/>
  <c r="M323" i="3" s="1"/>
  <c r="C325" i="3" l="1"/>
  <c r="D325" i="3" s="1"/>
  <c r="G325" i="3"/>
  <c r="E325" i="3" l="1"/>
  <c r="H325" i="3" s="1"/>
  <c r="I325" i="3"/>
  <c r="J325" i="3"/>
  <c r="K325" i="3" s="1"/>
  <c r="L325" i="3" s="1"/>
  <c r="A326" i="3" s="1"/>
  <c r="G326" i="3" l="1"/>
  <c r="C326" i="3"/>
  <c r="D326" i="3" s="1"/>
  <c r="E326" i="3" l="1"/>
  <c r="H326" i="3"/>
  <c r="I326" i="3" s="1"/>
  <c r="J326" i="3" s="1"/>
  <c r="K326" i="3"/>
  <c r="L326" i="3" s="1"/>
  <c r="A327" i="3" s="1"/>
  <c r="G327" i="3" l="1"/>
  <c r="C327" i="3"/>
  <c r="D327" i="3" s="1"/>
  <c r="E327" i="3" l="1"/>
  <c r="H327" i="3"/>
  <c r="I327" i="3" l="1"/>
  <c r="J327" i="3"/>
  <c r="K327" i="3" l="1"/>
  <c r="L327" i="3" s="1"/>
  <c r="A328" i="3" s="1"/>
  <c r="M326" i="3" s="1"/>
  <c r="C328" i="3" l="1"/>
  <c r="D328" i="3" s="1"/>
  <c r="G328" i="3"/>
  <c r="E328" i="3" l="1"/>
  <c r="H328" i="3" s="1"/>
  <c r="I328" i="3" s="1"/>
  <c r="J328" i="3" s="1"/>
  <c r="K328" i="3" s="1"/>
  <c r="L328" i="3" s="1"/>
  <c r="A329" i="3" s="1"/>
  <c r="C329" i="3" l="1"/>
  <c r="D329" i="3" s="1"/>
  <c r="G329" i="3"/>
  <c r="E329" i="3" l="1"/>
  <c r="H329" i="3" s="1"/>
  <c r="I329" i="3" s="1"/>
  <c r="J329" i="3" l="1"/>
  <c r="K329" i="3" s="1"/>
  <c r="L329" i="3" l="1"/>
  <c r="A330" i="3" s="1"/>
  <c r="C330" i="3" l="1"/>
  <c r="D330" i="3" s="1"/>
  <c r="G330" i="3"/>
  <c r="E330" i="3" l="1"/>
  <c r="H330" i="3" s="1"/>
  <c r="I330" i="3" s="1"/>
  <c r="J330" i="3" s="1"/>
  <c r="K330" i="3" l="1"/>
  <c r="L330" i="3" s="1"/>
  <c r="A331" i="3" s="1"/>
  <c r="C331" i="3" l="1"/>
  <c r="D331" i="3" s="1"/>
  <c r="G331" i="3"/>
  <c r="M329" i="3"/>
  <c r="E331" i="3" l="1"/>
  <c r="H331" i="3"/>
  <c r="I331" i="3" l="1"/>
  <c r="J331" i="3" s="1"/>
  <c r="K331" i="3" l="1"/>
  <c r="L331" i="3" s="1"/>
</calcChain>
</file>

<file path=xl/sharedStrings.xml><?xml version="1.0" encoding="utf-8"?>
<sst xmlns="http://schemas.openxmlformats.org/spreadsheetml/2006/main" count="125" uniqueCount="63">
  <si>
    <t>Profit amount</t>
  </si>
  <si>
    <t>Remain Profit</t>
  </si>
  <si>
    <t>Income Tax</t>
  </si>
  <si>
    <t xml:space="preserve">Profit after tax </t>
  </si>
  <si>
    <t>Growth Amount after Tax and Dividend</t>
  </si>
  <si>
    <t>Brokerage plus charges Both Side</t>
  </si>
  <si>
    <t>Self Dividend</t>
  </si>
  <si>
    <t>after 6.28 % profit value</t>
  </si>
  <si>
    <t>Investment Size</t>
  </si>
  <si>
    <t>ONGC</t>
  </si>
  <si>
    <t>Stock</t>
  </si>
  <si>
    <t>BEL</t>
  </si>
  <si>
    <t>MAHABANK</t>
  </si>
  <si>
    <t>POWERGRID</t>
  </si>
  <si>
    <t>PETRONET</t>
  </si>
  <si>
    <t>NLC INDIA</t>
  </si>
  <si>
    <t>PFC</t>
  </si>
  <si>
    <t>NHPC</t>
  </si>
  <si>
    <t>HUDCO</t>
  </si>
  <si>
    <t>NYKAA</t>
  </si>
  <si>
    <t>ATGL</t>
  </si>
  <si>
    <t>MOTILALOFS</t>
  </si>
  <si>
    <t>Dr Reddy</t>
  </si>
  <si>
    <t>3 in 1 step</t>
  </si>
  <si>
    <t xml:space="preserve">Step </t>
  </si>
  <si>
    <t>Amount</t>
  </si>
  <si>
    <t>F/RF</t>
  </si>
  <si>
    <t>RF</t>
  </si>
  <si>
    <t>F</t>
  </si>
  <si>
    <t>GICRE</t>
  </si>
  <si>
    <t>Apolo Hospital</t>
  </si>
  <si>
    <t>Torrent Power</t>
  </si>
  <si>
    <t>Sun Pharma</t>
  </si>
  <si>
    <t>IRB INFRA</t>
  </si>
  <si>
    <t>YES BANK</t>
  </si>
  <si>
    <t>PREMIRENE</t>
  </si>
  <si>
    <t>ASIAN PAINT</t>
  </si>
  <si>
    <t>SUZLON</t>
  </si>
  <si>
    <t>TMPV</t>
  </si>
  <si>
    <t>FORTIES</t>
  </si>
  <si>
    <t>MANKIND</t>
  </si>
  <si>
    <t>AXISBANK</t>
  </si>
  <si>
    <t>IDFCFRSTB</t>
  </si>
  <si>
    <t>Gail</t>
  </si>
  <si>
    <t>Pledge Charges with GST both side</t>
  </si>
  <si>
    <t>Estimated Interest Charges</t>
  </si>
  <si>
    <t>Interest Rate</t>
  </si>
  <si>
    <t>INDHOTEL</t>
  </si>
  <si>
    <t>ETERNAL</t>
  </si>
  <si>
    <t>REC Ltd</t>
  </si>
  <si>
    <t>BAJAJFIN</t>
  </si>
  <si>
    <t>MAXHEALTH</t>
  </si>
  <si>
    <t>LIC</t>
  </si>
  <si>
    <t>HDFCAMC</t>
  </si>
  <si>
    <t>ENDURANCE</t>
  </si>
  <si>
    <t>360ONE</t>
  </si>
  <si>
    <t>TVSMOTOR</t>
  </si>
  <si>
    <t>ALKEM</t>
  </si>
  <si>
    <t>HAL</t>
  </si>
  <si>
    <t>COFORGE</t>
  </si>
  <si>
    <t>EICHERMOT</t>
  </si>
  <si>
    <t>SCHAEFFLER</t>
  </si>
  <si>
    <t>PRESTIGE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</si>
</sst>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 wrapText="1"/>
    </xf>
    <xf numFmtId="2" fontId="0" fillId="0" borderId="1" xfId="0" applyNumberFormat="1" applyFill="1" applyBorder="1"/>
    <xf numFmtId="0" fontId="0" fillId="0" borderId="1" xfId="0" applyFill="1" applyBorder="1"/>
    <xf numFmtId="0" fontId="0" fillId="0" borderId="0" xfId="0" applyFill="1"/>
    <xf numFmtId="0" fontId="0" fillId="0" borderId="1" xfId="0" applyBorder="1"/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/>
    <xf numFmtId="2" fontId="0" fillId="2" borderId="1" xfId="0" applyNumberFormat="1" applyFill="1" applyBorder="1"/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2" fontId="0" fillId="3" borderId="1" xfId="0" applyNumberForma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/>
    <xf numFmtId="0" fontId="1" fillId="0" borderId="1" xfId="0" applyFont="1" applyFill="1" applyBorder="1"/>
    <xf numFmtId="2" fontId="1" fillId="0" borderId="1" xfId="0" applyNumberFormat="1" applyFont="1" applyFill="1" applyBorder="1"/>
    <xf numFmtId="0" fontId="1" fillId="0" borderId="0" xfId="0" applyFont="1" applyFill="1"/>
    <xf numFmtId="10" fontId="1" fillId="0" borderId="1" xfId="0" applyNumberFormat="1" applyFont="1" applyFill="1" applyBorder="1"/>
    <xf numFmtId="164" fontId="0" fillId="0" borderId="1" xfId="0" applyNumberFormat="1" applyFill="1" applyBorder="1"/>
    <xf numFmtId="2" fontId="0" fillId="0" borderId="0" xfId="0" applyNumberFormat="1"/>
    <xf numFmtId="2" fontId="0" fillId="0" borderId="1" xfId="0" applyNumberFormat="1" applyFont="1" applyFill="1" applyBorder="1"/>
    <xf numFmtId="0" fontId="0" fillId="0" borderId="1" xfId="0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ont="1" applyFill="1" applyBorder="1"/>
    <xf numFmtId="2" fontId="0" fillId="0" borderId="0" xfId="0" applyNumberFormat="1" applyFont="1"/>
    <xf numFmtId="0" fontId="0" fillId="0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"/>
  <sheetViews>
    <sheetView topLeftCell="A196" workbookViewId="0">
      <selection activeCell="M215" sqref="M215:M217"/>
    </sheetView>
  </sheetViews>
  <sheetFormatPr defaultRowHeight="14.4" x14ac:dyDescent="0.3"/>
  <cols>
    <col min="1" max="1" width="14.33203125" customWidth="1"/>
    <col min="2" max="2" width="11.5546875" bestFit="1" customWidth="1"/>
    <col min="3" max="3" width="18.33203125" bestFit="1" customWidth="1"/>
    <col min="4" max="4" width="12.33203125" bestFit="1" customWidth="1"/>
    <col min="5" max="5" width="15.44140625" bestFit="1" customWidth="1"/>
    <col min="6" max="6" width="8.44140625" bestFit="1" customWidth="1"/>
    <col min="7" max="7" width="9.21875" customWidth="1"/>
    <col min="8" max="8" width="12.109375" bestFit="1" customWidth="1"/>
    <col min="9" max="9" width="10.44140625" bestFit="1" customWidth="1"/>
    <col min="10" max="10" width="13.109375" bestFit="1" customWidth="1"/>
    <col min="11" max="11" width="9.5546875" bestFit="1" customWidth="1"/>
    <col min="12" max="12" width="18.6640625" bestFit="1" customWidth="1"/>
    <col min="13" max="13" width="18.6640625" customWidth="1"/>
  </cols>
  <sheetData>
    <row r="1" spans="1:13" ht="57.6" x14ac:dyDescent="0.3">
      <c r="A1" s="1" t="s">
        <v>8</v>
      </c>
      <c r="B1" s="1" t="s">
        <v>46</v>
      </c>
      <c r="C1" s="1" t="s">
        <v>7</v>
      </c>
      <c r="D1" s="1" t="s">
        <v>0</v>
      </c>
      <c r="E1" s="1" t="s">
        <v>5</v>
      </c>
      <c r="F1" s="1" t="s">
        <v>44</v>
      </c>
      <c r="G1" s="1" t="s">
        <v>45</v>
      </c>
      <c r="H1" s="1" t="s">
        <v>1</v>
      </c>
      <c r="I1" s="1" t="s">
        <v>2</v>
      </c>
      <c r="J1" s="1" t="s">
        <v>3</v>
      </c>
      <c r="K1" s="1" t="s">
        <v>6</v>
      </c>
      <c r="L1" s="1" t="s">
        <v>4</v>
      </c>
      <c r="M1" s="6" t="s">
        <v>23</v>
      </c>
    </row>
    <row r="2" spans="1:13" s="21" customFormat="1" x14ac:dyDescent="0.3">
      <c r="A2" s="19">
        <v>15000</v>
      </c>
      <c r="B2" s="22">
        <v>9.8500000000000004E-2</v>
      </c>
      <c r="C2" s="20">
        <f>A2*1.0628</f>
        <v>15942</v>
      </c>
      <c r="D2" s="20">
        <f>C2-A2</f>
        <v>942</v>
      </c>
      <c r="E2" s="20">
        <f>((A2+C2)*0.0012)</f>
        <v>37.130399999999995</v>
      </c>
      <c r="F2" s="2">
        <f>(25*2)*1.18</f>
        <v>59</v>
      </c>
      <c r="G2" s="24">
        <f>A2 * (17/30) * 8.5 * (B2 / 365 * 7)</f>
        <v>136.48321917808221</v>
      </c>
      <c r="H2" s="25">
        <f>D2-E2-F2-G2</f>
        <v>709.38638082191778</v>
      </c>
      <c r="I2" s="20">
        <f>(H2*0.2)*1.04</f>
        <v>147.55236721095892</v>
      </c>
      <c r="J2" s="20">
        <f>H2-I2</f>
        <v>561.83401361095889</v>
      </c>
      <c r="K2" s="20">
        <f>J2*0.5</f>
        <v>280.91700680547945</v>
      </c>
      <c r="L2" s="20">
        <f>J2-K2</f>
        <v>280.91700680547945</v>
      </c>
      <c r="M2" s="27">
        <f>(A2+A3+A4)/3</f>
        <v>15282.816511464582</v>
      </c>
    </row>
    <row r="3" spans="1:13" s="4" customFormat="1" x14ac:dyDescent="0.3">
      <c r="A3" s="2">
        <f t="shared" ref="A3:A66" si="0">A2+L2</f>
        <v>15280.917006805479</v>
      </c>
      <c r="B3" s="23">
        <f>B2</f>
        <v>9.8500000000000004E-2</v>
      </c>
      <c r="C3" s="2">
        <f t="shared" ref="C3:C66" si="1">A3*1.0628</f>
        <v>16240.558594832863</v>
      </c>
      <c r="D3" s="2">
        <f t="shared" ref="D3:D66" si="2">C3-A3</f>
        <v>959.64158802738348</v>
      </c>
      <c r="E3" s="2">
        <f t="shared" ref="E3:E66" si="3">((A3+C3)*0.0012)</f>
        <v>37.825770721966002</v>
      </c>
      <c r="F3" s="2">
        <f t="shared" ref="F3:F66" si="4">(25*2)*1.18</f>
        <v>59</v>
      </c>
      <c r="G3" s="24">
        <f t="shared" ref="G3:G66" si="5">A3 * (17/30) * 8.5 * (B3 / 365 * 7)</f>
        <v>139.03924967212774</v>
      </c>
      <c r="H3" s="25">
        <f t="shared" ref="H3:H66" si="6">D3-E3-F3-G3</f>
        <v>723.77656763328969</v>
      </c>
      <c r="I3" s="2">
        <f t="shared" ref="I3:I66" si="7">(H3*0.2)*1.04</f>
        <v>150.54552606772427</v>
      </c>
      <c r="J3" s="2">
        <f t="shared" ref="J3:J66" si="8">H3-I3</f>
        <v>573.23104156556542</v>
      </c>
      <c r="K3" s="2">
        <f t="shared" ref="K3:K66" si="9">J3*0.5</f>
        <v>286.61552078278271</v>
      </c>
      <c r="L3" s="2">
        <f>J3-K3</f>
        <v>286.61552078278271</v>
      </c>
      <c r="M3" s="28"/>
    </row>
    <row r="4" spans="1:13" s="4" customFormat="1" x14ac:dyDescent="0.3">
      <c r="A4" s="2">
        <f t="shared" si="0"/>
        <v>15567.532527588262</v>
      </c>
      <c r="B4" s="23">
        <f t="shared" ref="B4:B67" si="10">B3</f>
        <v>9.8500000000000004E-2</v>
      </c>
      <c r="C4" s="2">
        <f t="shared" si="1"/>
        <v>16545.173570320803</v>
      </c>
      <c r="D4" s="2">
        <f t="shared" si="2"/>
        <v>977.64104273254088</v>
      </c>
      <c r="E4" s="2">
        <f t="shared" si="3"/>
        <v>38.535247317490878</v>
      </c>
      <c r="F4" s="2">
        <f t="shared" si="4"/>
        <v>59</v>
      </c>
      <c r="G4" s="24">
        <f t="shared" si="5"/>
        <v>141.64713026831686</v>
      </c>
      <c r="H4" s="25">
        <f t="shared" si="6"/>
        <v>738.45866514673321</v>
      </c>
      <c r="I4" s="2">
        <f t="shared" si="7"/>
        <v>153.59940235052051</v>
      </c>
      <c r="J4" s="2">
        <f t="shared" si="8"/>
        <v>584.85926279621276</v>
      </c>
      <c r="K4" s="2">
        <f t="shared" si="9"/>
        <v>292.42963139810638</v>
      </c>
      <c r="L4" s="2">
        <f t="shared" ref="L4:L54" si="11">J4-K4</f>
        <v>292.42963139810638</v>
      </c>
      <c r="M4" s="28"/>
    </row>
    <row r="5" spans="1:13" s="4" customFormat="1" x14ac:dyDescent="0.3">
      <c r="A5" s="2">
        <f t="shared" si="0"/>
        <v>15859.962158986369</v>
      </c>
      <c r="B5" s="23">
        <f t="shared" si="10"/>
        <v>9.8500000000000004E-2</v>
      </c>
      <c r="C5" s="2">
        <f t="shared" si="1"/>
        <v>16855.967782570711</v>
      </c>
      <c r="D5" s="2">
        <f t="shared" si="2"/>
        <v>996.00562358434217</v>
      </c>
      <c r="E5" s="2">
        <f t="shared" si="3"/>
        <v>39.259115929868493</v>
      </c>
      <c r="F5" s="2">
        <f t="shared" si="4"/>
        <v>59</v>
      </c>
      <c r="G5" s="24">
        <f t="shared" si="5"/>
        <v>144.30791276673509</v>
      </c>
      <c r="H5" s="25">
        <f t="shared" si="6"/>
        <v>753.43859488773865</v>
      </c>
      <c r="I5" s="2">
        <f t="shared" si="7"/>
        <v>156.71522773664967</v>
      </c>
      <c r="J5" s="2">
        <f t="shared" si="8"/>
        <v>596.72336715108895</v>
      </c>
      <c r="K5" s="2">
        <f t="shared" si="9"/>
        <v>298.36168357554448</v>
      </c>
      <c r="L5" s="2">
        <f t="shared" si="11"/>
        <v>298.36168357554448</v>
      </c>
      <c r="M5" s="27">
        <f t="shared" ref="M5" si="12">(A5+A6+A7)/3</f>
        <v>16160.341304639034</v>
      </c>
    </row>
    <row r="6" spans="1:13" s="32" customFormat="1" x14ac:dyDescent="0.3">
      <c r="A6" s="25">
        <f t="shared" si="0"/>
        <v>16158.323842561913</v>
      </c>
      <c r="B6" s="30">
        <f t="shared" si="10"/>
        <v>9.8500000000000004E-2</v>
      </c>
      <c r="C6" s="25">
        <f t="shared" si="1"/>
        <v>17173.066579874801</v>
      </c>
      <c r="D6" s="25">
        <f t="shared" si="2"/>
        <v>1014.7427373128885</v>
      </c>
      <c r="E6" s="25">
        <f t="shared" si="3"/>
        <v>39.99766850692405</v>
      </c>
      <c r="F6" s="25">
        <f t="shared" si="4"/>
        <v>59</v>
      </c>
      <c r="G6" s="31">
        <f t="shared" si="5"/>
        <v>147.02267030365394</v>
      </c>
      <c r="H6" s="25">
        <f t="shared" si="6"/>
        <v>768.72239850231051</v>
      </c>
      <c r="I6" s="25">
        <f t="shared" si="7"/>
        <v>159.89425888848061</v>
      </c>
      <c r="J6" s="25">
        <f t="shared" si="8"/>
        <v>608.82813961382988</v>
      </c>
      <c r="K6" s="25">
        <f t="shared" si="9"/>
        <v>304.41406980691494</v>
      </c>
      <c r="L6" s="25">
        <f t="shared" si="11"/>
        <v>304.41406980691494</v>
      </c>
      <c r="M6" s="28"/>
    </row>
    <row r="7" spans="1:13" s="32" customFormat="1" x14ac:dyDescent="0.3">
      <c r="A7" s="25">
        <f t="shared" si="0"/>
        <v>16462.737912368826</v>
      </c>
      <c r="B7" s="30">
        <f t="shared" si="10"/>
        <v>9.8500000000000004E-2</v>
      </c>
      <c r="C7" s="25">
        <f t="shared" si="1"/>
        <v>17496.597853265586</v>
      </c>
      <c r="D7" s="25">
        <f t="shared" si="2"/>
        <v>1033.8599408967602</v>
      </c>
      <c r="E7" s="25">
        <f t="shared" si="3"/>
        <v>40.751202918761294</v>
      </c>
      <c r="F7" s="25">
        <f t="shared" si="4"/>
        <v>59</v>
      </c>
      <c r="G7" s="31">
        <f t="shared" si="5"/>
        <v>149.79249778434385</v>
      </c>
      <c r="H7" s="25">
        <f t="shared" si="6"/>
        <v>784.31624019365518</v>
      </c>
      <c r="I7" s="25">
        <f t="shared" si="7"/>
        <v>163.13777796028032</v>
      </c>
      <c r="J7" s="25">
        <f t="shared" si="8"/>
        <v>621.17846223337483</v>
      </c>
      <c r="K7" s="25">
        <f t="shared" si="9"/>
        <v>310.58923111668742</v>
      </c>
      <c r="L7" s="25">
        <f t="shared" si="11"/>
        <v>310.58923111668742</v>
      </c>
      <c r="M7" s="28"/>
    </row>
    <row r="8" spans="1:13" s="32" customFormat="1" x14ac:dyDescent="0.3">
      <c r="A8" s="25">
        <f t="shared" si="0"/>
        <v>16773.327143485512</v>
      </c>
      <c r="B8" s="30">
        <f t="shared" si="10"/>
        <v>9.8500000000000004E-2</v>
      </c>
      <c r="C8" s="25">
        <f t="shared" si="1"/>
        <v>17826.692088096403</v>
      </c>
      <c r="D8" s="25">
        <f t="shared" si="2"/>
        <v>1053.3649446108902</v>
      </c>
      <c r="E8" s="25">
        <f t="shared" si="3"/>
        <v>41.520023077898294</v>
      </c>
      <c r="F8" s="25">
        <f t="shared" si="4"/>
        <v>59</v>
      </c>
      <c r="G8" s="31">
        <f t="shared" si="5"/>
        <v>152.61851232466722</v>
      </c>
      <c r="H8" s="25">
        <f t="shared" si="6"/>
        <v>800.22640920832475</v>
      </c>
      <c r="I8" s="25">
        <f t="shared" si="7"/>
        <v>166.44709311533157</v>
      </c>
      <c r="J8" s="25">
        <f t="shared" si="8"/>
        <v>633.77931609299321</v>
      </c>
      <c r="K8" s="25">
        <f t="shared" si="9"/>
        <v>316.88965804649661</v>
      </c>
      <c r="L8" s="25">
        <f t="shared" si="11"/>
        <v>316.88965804649661</v>
      </c>
      <c r="M8" s="27">
        <f t="shared" ref="M8" si="13">(A8+A9+A10)/3</f>
        <v>17092.359546069711</v>
      </c>
    </row>
    <row r="9" spans="1:13" s="32" customFormat="1" x14ac:dyDescent="0.3">
      <c r="A9" s="25">
        <f t="shared" si="0"/>
        <v>17090.216801532009</v>
      </c>
      <c r="B9" s="30">
        <f t="shared" si="10"/>
        <v>9.8500000000000004E-2</v>
      </c>
      <c r="C9" s="25">
        <f t="shared" si="1"/>
        <v>18163.482416668219</v>
      </c>
      <c r="D9" s="25">
        <f t="shared" si="2"/>
        <v>1073.2656151362098</v>
      </c>
      <c r="E9" s="25">
        <f t="shared" si="3"/>
        <v>42.30443906184027</v>
      </c>
      <c r="F9" s="25">
        <f t="shared" si="4"/>
        <v>59</v>
      </c>
      <c r="G9" s="31">
        <f t="shared" si="5"/>
        <v>155.50185370162907</v>
      </c>
      <c r="H9" s="25">
        <f t="shared" si="6"/>
        <v>816.45932237274053</v>
      </c>
      <c r="I9" s="25">
        <f t="shared" si="7"/>
        <v>169.82353905353003</v>
      </c>
      <c r="J9" s="25">
        <f t="shared" si="8"/>
        <v>646.63578331921053</v>
      </c>
      <c r="K9" s="25">
        <f t="shared" si="9"/>
        <v>323.31789165960527</v>
      </c>
      <c r="L9" s="25">
        <f t="shared" si="11"/>
        <v>323.31789165960527</v>
      </c>
      <c r="M9" s="28"/>
    </row>
    <row r="10" spans="1:13" s="32" customFormat="1" x14ac:dyDescent="0.3">
      <c r="A10" s="25">
        <f t="shared" si="0"/>
        <v>17413.534693191614</v>
      </c>
      <c r="B10" s="30">
        <f t="shared" si="10"/>
        <v>9.8500000000000004E-2</v>
      </c>
      <c r="C10" s="25">
        <f t="shared" si="1"/>
        <v>18507.104671924048</v>
      </c>
      <c r="D10" s="25">
        <f t="shared" si="2"/>
        <v>1093.5699787324338</v>
      </c>
      <c r="E10" s="25">
        <f t="shared" si="3"/>
        <v>43.104767238138791</v>
      </c>
      <c r="F10" s="25">
        <f t="shared" si="4"/>
        <v>59</v>
      </c>
      <c r="G10" s="31">
        <f t="shared" si="5"/>
        <v>158.44368481306728</v>
      </c>
      <c r="H10" s="25">
        <f t="shared" si="6"/>
        <v>833.02152668122778</v>
      </c>
      <c r="I10" s="25">
        <f t="shared" si="7"/>
        <v>173.2684775496954</v>
      </c>
      <c r="J10" s="25">
        <f t="shared" si="8"/>
        <v>659.75304913153241</v>
      </c>
      <c r="K10" s="25">
        <f t="shared" si="9"/>
        <v>329.8765245657662</v>
      </c>
      <c r="L10" s="25">
        <f t="shared" si="11"/>
        <v>329.8765245657662</v>
      </c>
      <c r="M10" s="28"/>
    </row>
    <row r="11" spans="1:13" s="32" customFormat="1" x14ac:dyDescent="0.3">
      <c r="A11" s="25">
        <f t="shared" si="0"/>
        <v>17743.411217757381</v>
      </c>
      <c r="B11" s="30">
        <f t="shared" si="10"/>
        <v>9.8500000000000004E-2</v>
      </c>
      <c r="C11" s="25">
        <f t="shared" si="1"/>
        <v>18857.697442232544</v>
      </c>
      <c r="D11" s="25">
        <f t="shared" si="2"/>
        <v>1114.2862244751632</v>
      </c>
      <c r="E11" s="25">
        <f t="shared" si="3"/>
        <v>43.921330391987908</v>
      </c>
      <c r="F11" s="25">
        <f t="shared" si="4"/>
        <v>59</v>
      </c>
      <c r="G11" s="31">
        <f t="shared" si="5"/>
        <v>161.44519214666821</v>
      </c>
      <c r="H11" s="25">
        <f t="shared" si="6"/>
        <v>849.91970193650718</v>
      </c>
      <c r="I11" s="25">
        <f t="shared" si="7"/>
        <v>176.78329800279352</v>
      </c>
      <c r="J11" s="25">
        <f t="shared" si="8"/>
        <v>673.13640393371361</v>
      </c>
      <c r="K11" s="25">
        <f t="shared" si="9"/>
        <v>336.5682019668568</v>
      </c>
      <c r="L11" s="25">
        <f t="shared" si="11"/>
        <v>336.5682019668568</v>
      </c>
      <c r="M11" s="27">
        <f t="shared" ref="M11" si="14">(A11+A12+A13)/3</f>
        <v>18082.255226643196</v>
      </c>
    </row>
    <row r="12" spans="1:13" s="32" customFormat="1" x14ac:dyDescent="0.3">
      <c r="A12" s="25">
        <f t="shared" si="0"/>
        <v>18079.979419724237</v>
      </c>
      <c r="B12" s="30">
        <f t="shared" si="10"/>
        <v>9.8500000000000004E-2</v>
      </c>
      <c r="C12" s="25">
        <f t="shared" si="1"/>
        <v>19215.40212728292</v>
      </c>
      <c r="D12" s="25">
        <f t="shared" si="2"/>
        <v>1135.4227075586823</v>
      </c>
      <c r="E12" s="25">
        <f t="shared" si="3"/>
        <v>44.754457856408585</v>
      </c>
      <c r="F12" s="25">
        <f t="shared" si="4"/>
        <v>59</v>
      </c>
      <c r="G12" s="31">
        <f t="shared" si="5"/>
        <v>164.50758625849591</v>
      </c>
      <c r="H12" s="25">
        <f t="shared" si="6"/>
        <v>867.16066344377782</v>
      </c>
      <c r="I12" s="25">
        <f t="shared" si="7"/>
        <v>180.36941799630583</v>
      </c>
      <c r="J12" s="25">
        <f t="shared" si="8"/>
        <v>686.79124544747197</v>
      </c>
      <c r="K12" s="25">
        <f t="shared" si="9"/>
        <v>343.39562272373598</v>
      </c>
      <c r="L12" s="25">
        <f t="shared" si="11"/>
        <v>343.39562272373598</v>
      </c>
      <c r="M12" s="28"/>
    </row>
    <row r="13" spans="1:13" s="32" customFormat="1" x14ac:dyDescent="0.3">
      <c r="A13" s="25">
        <f t="shared" si="0"/>
        <v>18423.375042447973</v>
      </c>
      <c r="B13" s="30">
        <f t="shared" si="10"/>
        <v>9.8500000000000004E-2</v>
      </c>
      <c r="C13" s="25">
        <f t="shared" si="1"/>
        <v>19580.362995113705</v>
      </c>
      <c r="D13" s="25">
        <f t="shared" si="2"/>
        <v>1156.9879526657314</v>
      </c>
      <c r="E13" s="25">
        <f t="shared" si="3"/>
        <v>45.604485645074007</v>
      </c>
      <c r="F13" s="25">
        <f t="shared" si="4"/>
        <v>59</v>
      </c>
      <c r="G13" s="31">
        <f t="shared" si="5"/>
        <v>167.63210226122905</v>
      </c>
      <c r="H13" s="25">
        <f t="shared" si="6"/>
        <v>884.75136475942838</v>
      </c>
      <c r="I13" s="25">
        <f t="shared" si="7"/>
        <v>184.02828386996111</v>
      </c>
      <c r="J13" s="25">
        <f t="shared" si="8"/>
        <v>700.72308088946727</v>
      </c>
      <c r="K13" s="25">
        <f t="shared" si="9"/>
        <v>350.36154044473363</v>
      </c>
      <c r="L13" s="25">
        <f t="shared" si="11"/>
        <v>350.36154044473363</v>
      </c>
      <c r="M13" s="28"/>
    </row>
    <row r="14" spans="1:13" s="32" customFormat="1" x14ac:dyDescent="0.3">
      <c r="A14" s="25">
        <f t="shared" si="0"/>
        <v>18773.736582892707</v>
      </c>
      <c r="B14" s="30">
        <f t="shared" si="10"/>
        <v>9.8500000000000004E-2</v>
      </c>
      <c r="C14" s="25">
        <f t="shared" si="1"/>
        <v>19952.727240298369</v>
      </c>
      <c r="D14" s="25">
        <f t="shared" si="2"/>
        <v>1178.9906574056622</v>
      </c>
      <c r="E14" s="25">
        <f t="shared" si="3"/>
        <v>46.47175658782929</v>
      </c>
      <c r="F14" s="25">
        <f t="shared" si="4"/>
        <v>59</v>
      </c>
      <c r="G14" s="31">
        <f t="shared" si="5"/>
        <v>170.82000032230167</v>
      </c>
      <c r="H14" s="25">
        <f t="shared" si="6"/>
        <v>902.69890049553123</v>
      </c>
      <c r="I14" s="25">
        <f t="shared" si="7"/>
        <v>187.76137130307052</v>
      </c>
      <c r="J14" s="25">
        <f t="shared" si="8"/>
        <v>714.93752919246072</v>
      </c>
      <c r="K14" s="25">
        <f t="shared" si="9"/>
        <v>357.46876459623036</v>
      </c>
      <c r="L14" s="25">
        <f t="shared" si="11"/>
        <v>357.46876459623036</v>
      </c>
      <c r="M14" s="27">
        <f t="shared" ref="M14" si="15">(A14+A15+A16)/3</f>
        <v>19133.622479835441</v>
      </c>
    </row>
    <row r="15" spans="1:13" s="32" customFormat="1" x14ac:dyDescent="0.3">
      <c r="A15" s="25">
        <f t="shared" si="0"/>
        <v>19131.205347488936</v>
      </c>
      <c r="B15" s="30">
        <f t="shared" si="10"/>
        <v>9.8500000000000004E-2</v>
      </c>
      <c r="C15" s="25">
        <f t="shared" si="1"/>
        <v>20332.64504331124</v>
      </c>
      <c r="D15" s="25">
        <f t="shared" si="2"/>
        <v>1201.4396958223042</v>
      </c>
      <c r="E15" s="25">
        <f t="shared" si="3"/>
        <v>47.356620468960202</v>
      </c>
      <c r="F15" s="25">
        <f t="shared" si="4"/>
        <v>59</v>
      </c>
      <c r="G15" s="31">
        <f t="shared" si="5"/>
        <v>174.07256617214873</v>
      </c>
      <c r="H15" s="25">
        <f t="shared" si="6"/>
        <v>921.01050918119518</v>
      </c>
      <c r="I15" s="25">
        <f t="shared" si="7"/>
        <v>191.57018590968863</v>
      </c>
      <c r="J15" s="25">
        <f t="shared" si="8"/>
        <v>729.44032327150649</v>
      </c>
      <c r="K15" s="25">
        <f t="shared" si="9"/>
        <v>364.72016163575324</v>
      </c>
      <c r="L15" s="25">
        <f t="shared" si="11"/>
        <v>364.72016163575324</v>
      </c>
      <c r="M15" s="28"/>
    </row>
    <row r="16" spans="1:13" s="32" customFormat="1" x14ac:dyDescent="0.3">
      <c r="A16" s="25">
        <f t="shared" si="0"/>
        <v>19495.925509124689</v>
      </c>
      <c r="B16" s="30">
        <f t="shared" si="10"/>
        <v>9.8500000000000004E-2</v>
      </c>
      <c r="C16" s="25">
        <f t="shared" si="1"/>
        <v>20720.269631097719</v>
      </c>
      <c r="D16" s="25">
        <f t="shared" si="2"/>
        <v>1224.3441219730303</v>
      </c>
      <c r="E16" s="25">
        <f t="shared" si="3"/>
        <v>48.259434168266885</v>
      </c>
      <c r="F16" s="25">
        <f t="shared" si="4"/>
        <v>59</v>
      </c>
      <c r="G16" s="31">
        <f t="shared" si="5"/>
        <v>177.39111162276188</v>
      </c>
      <c r="H16" s="25">
        <f t="shared" si="6"/>
        <v>939.69357618200161</v>
      </c>
      <c r="I16" s="25">
        <f t="shared" si="7"/>
        <v>195.45626384585634</v>
      </c>
      <c r="J16" s="25">
        <f t="shared" si="8"/>
        <v>744.23731233614524</v>
      </c>
      <c r="K16" s="25">
        <f t="shared" si="9"/>
        <v>372.11865616807262</v>
      </c>
      <c r="L16" s="25">
        <f t="shared" si="11"/>
        <v>372.11865616807262</v>
      </c>
      <c r="M16" s="28"/>
    </row>
    <row r="17" spans="1:13" s="32" customFormat="1" x14ac:dyDescent="0.3">
      <c r="A17" s="25">
        <f t="shared" si="0"/>
        <v>19868.044165292762</v>
      </c>
      <c r="B17" s="30">
        <f t="shared" si="10"/>
        <v>9.8500000000000004E-2</v>
      </c>
      <c r="C17" s="25">
        <f t="shared" si="1"/>
        <v>21115.757338873147</v>
      </c>
      <c r="D17" s="25">
        <f t="shared" si="2"/>
        <v>1247.713173580385</v>
      </c>
      <c r="E17" s="25">
        <f t="shared" si="3"/>
        <v>49.180561804999087</v>
      </c>
      <c r="F17" s="25">
        <f t="shared" si="4"/>
        <v>59</v>
      </c>
      <c r="G17" s="31">
        <f t="shared" si="5"/>
        <v>180.7769750967646</v>
      </c>
      <c r="H17" s="25">
        <f t="shared" si="6"/>
        <v>958.75563667862139</v>
      </c>
      <c r="I17" s="25">
        <f t="shared" si="7"/>
        <v>199.42117242915324</v>
      </c>
      <c r="J17" s="25">
        <f t="shared" si="8"/>
        <v>759.33446424946817</v>
      </c>
      <c r="K17" s="25">
        <f t="shared" si="9"/>
        <v>379.66723212473408</v>
      </c>
      <c r="L17" s="25">
        <f t="shared" si="11"/>
        <v>379.66723212473408</v>
      </c>
      <c r="M17" s="27">
        <f t="shared" ref="M17" si="16">(A17+A18+A19)/3</f>
        <v>20250.278631365098</v>
      </c>
    </row>
    <row r="18" spans="1:13" s="32" customFormat="1" x14ac:dyDescent="0.3">
      <c r="A18" s="25">
        <f t="shared" si="0"/>
        <v>20247.711397417497</v>
      </c>
      <c r="B18" s="30">
        <f t="shared" si="10"/>
        <v>9.8500000000000004E-2</v>
      </c>
      <c r="C18" s="25">
        <f t="shared" si="1"/>
        <v>21519.267673175316</v>
      </c>
      <c r="D18" s="25">
        <f t="shared" si="2"/>
        <v>1271.5562757578191</v>
      </c>
      <c r="E18" s="25">
        <f t="shared" si="3"/>
        <v>50.120374884711374</v>
      </c>
      <c r="F18" s="25">
        <f t="shared" si="4"/>
        <v>59</v>
      </c>
      <c r="G18" s="31">
        <f t="shared" si="5"/>
        <v>184.23152216721903</v>
      </c>
      <c r="H18" s="25">
        <f t="shared" si="6"/>
        <v>978.20437870588876</v>
      </c>
      <c r="I18" s="25">
        <f t="shared" si="7"/>
        <v>203.46651077082487</v>
      </c>
      <c r="J18" s="25">
        <f t="shared" si="8"/>
        <v>774.73786793506383</v>
      </c>
      <c r="K18" s="25">
        <f t="shared" si="9"/>
        <v>387.36893396753192</v>
      </c>
      <c r="L18" s="25">
        <f t="shared" si="11"/>
        <v>387.36893396753192</v>
      </c>
      <c r="M18" s="28"/>
    </row>
    <row r="19" spans="1:13" s="32" customFormat="1" x14ac:dyDescent="0.3">
      <c r="A19" s="25">
        <f t="shared" si="0"/>
        <v>20635.08033138503</v>
      </c>
      <c r="B19" s="30">
        <f t="shared" si="10"/>
        <v>9.8500000000000004E-2</v>
      </c>
      <c r="C19" s="25">
        <f t="shared" si="1"/>
        <v>21930.96337619601</v>
      </c>
      <c r="D19" s="25">
        <f t="shared" si="2"/>
        <v>1295.8830448109802</v>
      </c>
      <c r="E19" s="25">
        <f t="shared" si="3"/>
        <v>51.079252449097247</v>
      </c>
      <c r="F19" s="25">
        <f t="shared" si="4"/>
        <v>59</v>
      </c>
      <c r="G19" s="31">
        <f t="shared" si="5"/>
        <v>187.75614610838372</v>
      </c>
      <c r="H19" s="25">
        <f t="shared" si="6"/>
        <v>998.04764625349912</v>
      </c>
      <c r="I19" s="25">
        <f t="shared" si="7"/>
        <v>207.59391042072784</v>
      </c>
      <c r="J19" s="25">
        <f t="shared" si="8"/>
        <v>790.45373583277126</v>
      </c>
      <c r="K19" s="25">
        <f t="shared" si="9"/>
        <v>395.22686791638563</v>
      </c>
      <c r="L19" s="25">
        <f t="shared" si="11"/>
        <v>395.22686791638563</v>
      </c>
      <c r="M19" s="28"/>
    </row>
    <row r="20" spans="1:13" s="32" customFormat="1" x14ac:dyDescent="0.3">
      <c r="A20" s="25">
        <f t="shared" si="0"/>
        <v>21030.307199301416</v>
      </c>
      <c r="B20" s="30">
        <f t="shared" si="10"/>
        <v>9.8500000000000004E-2</v>
      </c>
      <c r="C20" s="25">
        <f t="shared" si="1"/>
        <v>22351.010491417546</v>
      </c>
      <c r="D20" s="25">
        <f t="shared" si="2"/>
        <v>1320.7032921161299</v>
      </c>
      <c r="E20" s="25">
        <f t="shared" si="3"/>
        <v>52.057581228862752</v>
      </c>
      <c r="F20" s="25">
        <f t="shared" si="4"/>
        <v>59</v>
      </c>
      <c r="G20" s="31">
        <f t="shared" si="5"/>
        <v>191.35226845764367</v>
      </c>
      <c r="H20" s="25">
        <f t="shared" si="6"/>
        <v>1018.2934424296234</v>
      </c>
      <c r="I20" s="25">
        <f t="shared" si="7"/>
        <v>211.80503602536169</v>
      </c>
      <c r="J20" s="25">
        <f t="shared" si="8"/>
        <v>806.4884064042617</v>
      </c>
      <c r="K20" s="25">
        <f t="shared" si="9"/>
        <v>403.24420320213085</v>
      </c>
      <c r="L20" s="25">
        <f t="shared" si="11"/>
        <v>403.24420320213085</v>
      </c>
      <c r="M20" s="27">
        <f t="shared" ref="M20" si="17">(A20+A21+A22)/3</f>
        <v>21436.278059217744</v>
      </c>
    </row>
    <row r="21" spans="1:13" s="32" customFormat="1" x14ac:dyDescent="0.3">
      <c r="A21" s="25">
        <f t="shared" si="0"/>
        <v>21433.551402503548</v>
      </c>
      <c r="B21" s="30">
        <f t="shared" si="10"/>
        <v>9.8500000000000004E-2</v>
      </c>
      <c r="C21" s="25">
        <f t="shared" si="1"/>
        <v>22779.578430580772</v>
      </c>
      <c r="D21" s="25">
        <f t="shared" si="2"/>
        <v>1346.0270280772238</v>
      </c>
      <c r="E21" s="25">
        <f t="shared" si="3"/>
        <v>53.055755799701181</v>
      </c>
      <c r="F21" s="25">
        <f t="shared" si="4"/>
        <v>59</v>
      </c>
      <c r="G21" s="31">
        <f t="shared" si="5"/>
        <v>195.02133958883886</v>
      </c>
      <c r="H21" s="25">
        <f t="shared" si="6"/>
        <v>1038.9499326886837</v>
      </c>
      <c r="I21" s="25">
        <f t="shared" si="7"/>
        <v>216.10158599924623</v>
      </c>
      <c r="J21" s="25">
        <f t="shared" si="8"/>
        <v>822.84834668943745</v>
      </c>
      <c r="K21" s="25">
        <f t="shared" si="9"/>
        <v>411.42417334471872</v>
      </c>
      <c r="L21" s="25">
        <f t="shared" si="11"/>
        <v>411.42417334471872</v>
      </c>
      <c r="M21" s="28"/>
    </row>
    <row r="22" spans="1:13" s="32" customFormat="1" x14ac:dyDescent="0.3">
      <c r="A22" s="25">
        <f t="shared" si="0"/>
        <v>21844.975575848268</v>
      </c>
      <c r="B22" s="30">
        <f t="shared" si="10"/>
        <v>9.8500000000000004E-2</v>
      </c>
      <c r="C22" s="25">
        <f t="shared" si="1"/>
        <v>23216.840042011539</v>
      </c>
      <c r="D22" s="25">
        <f t="shared" si="2"/>
        <v>1371.8644661632716</v>
      </c>
      <c r="E22" s="25">
        <f t="shared" si="3"/>
        <v>54.074178741431766</v>
      </c>
      <c r="F22" s="25">
        <f t="shared" si="4"/>
        <v>59</v>
      </c>
      <c r="G22" s="31">
        <f t="shared" si="5"/>
        <v>198.76483929722343</v>
      </c>
      <c r="H22" s="25">
        <f t="shared" si="6"/>
        <v>1060.0254481246163</v>
      </c>
      <c r="I22" s="25">
        <f t="shared" si="7"/>
        <v>220.4852932099202</v>
      </c>
      <c r="J22" s="25">
        <f t="shared" si="8"/>
        <v>839.54015491469613</v>
      </c>
      <c r="K22" s="25">
        <f t="shared" si="9"/>
        <v>419.77007745734807</v>
      </c>
      <c r="L22" s="25">
        <f t="shared" si="11"/>
        <v>419.77007745734807</v>
      </c>
      <c r="M22" s="28"/>
    </row>
    <row r="23" spans="1:13" s="32" customFormat="1" x14ac:dyDescent="0.3">
      <c r="A23" s="25">
        <f t="shared" si="0"/>
        <v>22264.745653305617</v>
      </c>
      <c r="B23" s="30">
        <f t="shared" si="10"/>
        <v>9.8500000000000004E-2</v>
      </c>
      <c r="C23" s="25">
        <f t="shared" si="1"/>
        <v>23662.971680333208</v>
      </c>
      <c r="D23" s="25">
        <f t="shared" si="2"/>
        <v>1398.226027027591</v>
      </c>
      <c r="E23" s="25">
        <f t="shared" si="3"/>
        <v>55.113260800366582</v>
      </c>
      <c r="F23" s="25">
        <f t="shared" si="4"/>
        <v>59</v>
      </c>
      <c r="G23" s="31">
        <f t="shared" si="5"/>
        <v>202.5842773962909</v>
      </c>
      <c r="H23" s="25">
        <f t="shared" si="6"/>
        <v>1081.5284888309336</v>
      </c>
      <c r="I23" s="25">
        <f t="shared" si="7"/>
        <v>224.95792567683421</v>
      </c>
      <c r="J23" s="25">
        <f t="shared" si="8"/>
        <v>856.57056315409943</v>
      </c>
      <c r="K23" s="25">
        <f t="shared" si="9"/>
        <v>428.28528157704972</v>
      </c>
      <c r="L23" s="25">
        <f t="shared" si="11"/>
        <v>428.28528157704972</v>
      </c>
      <c r="M23" s="27">
        <f t="shared" ref="M23" si="18">(A23+A24+A25)/3</f>
        <v>22695.926914364405</v>
      </c>
    </row>
    <row r="24" spans="1:13" s="32" customFormat="1" x14ac:dyDescent="0.3">
      <c r="A24" s="25">
        <f t="shared" si="0"/>
        <v>22693.030934882667</v>
      </c>
      <c r="B24" s="30">
        <f t="shared" si="10"/>
        <v>9.8500000000000004E-2</v>
      </c>
      <c r="C24" s="25">
        <f t="shared" si="1"/>
        <v>24118.153277593297</v>
      </c>
      <c r="D24" s="25">
        <f t="shared" si="2"/>
        <v>1425.1223427106306</v>
      </c>
      <c r="E24" s="25">
        <f t="shared" si="3"/>
        <v>56.173421054971151</v>
      </c>
      <c r="F24" s="25">
        <f t="shared" si="4"/>
        <v>59</v>
      </c>
      <c r="G24" s="31">
        <f t="shared" si="5"/>
        <v>206.48119432670603</v>
      </c>
      <c r="H24" s="25">
        <f t="shared" si="6"/>
        <v>1103.4677273289535</v>
      </c>
      <c r="I24" s="25">
        <f t="shared" si="7"/>
        <v>229.52128728442236</v>
      </c>
      <c r="J24" s="25">
        <f t="shared" si="8"/>
        <v>873.94644004453119</v>
      </c>
      <c r="K24" s="25">
        <f t="shared" si="9"/>
        <v>436.97322002226559</v>
      </c>
      <c r="L24" s="25">
        <f t="shared" si="11"/>
        <v>436.97322002226559</v>
      </c>
      <c r="M24" s="28"/>
    </row>
    <row r="25" spans="1:13" s="32" customFormat="1" x14ac:dyDescent="0.3">
      <c r="A25" s="25">
        <f t="shared" si="0"/>
        <v>23130.004154904931</v>
      </c>
      <c r="B25" s="30">
        <f t="shared" si="10"/>
        <v>9.8500000000000004E-2</v>
      </c>
      <c r="C25" s="25">
        <f t="shared" si="1"/>
        <v>24582.56841583296</v>
      </c>
      <c r="D25" s="25">
        <f t="shared" si="2"/>
        <v>1452.5642609280294</v>
      </c>
      <c r="E25" s="25">
        <f t="shared" si="3"/>
        <v>57.25508708488546</v>
      </c>
      <c r="F25" s="25">
        <f t="shared" si="4"/>
        <v>59</v>
      </c>
      <c r="G25" s="31">
        <f t="shared" si="5"/>
        <v>210.45716177758942</v>
      </c>
      <c r="H25" s="25">
        <f t="shared" si="6"/>
        <v>1125.8520120655546</v>
      </c>
      <c r="I25" s="25">
        <f t="shared" si="7"/>
        <v>234.17721850963537</v>
      </c>
      <c r="J25" s="25">
        <f t="shared" si="8"/>
        <v>891.67479355591922</v>
      </c>
      <c r="K25" s="25">
        <f t="shared" si="9"/>
        <v>445.83739677795961</v>
      </c>
      <c r="L25" s="25">
        <f t="shared" si="11"/>
        <v>445.83739677795961</v>
      </c>
      <c r="M25" s="28"/>
    </row>
    <row r="26" spans="1:13" s="32" customFormat="1" x14ac:dyDescent="0.3">
      <c r="A26" s="25">
        <f t="shared" si="0"/>
        <v>23575.84155168289</v>
      </c>
      <c r="B26" s="30">
        <f t="shared" si="10"/>
        <v>9.8500000000000004E-2</v>
      </c>
      <c r="C26" s="25">
        <f t="shared" si="1"/>
        <v>25056.404401128573</v>
      </c>
      <c r="D26" s="25">
        <f t="shared" si="2"/>
        <v>1480.5628494456832</v>
      </c>
      <c r="E26" s="25">
        <f t="shared" si="3"/>
        <v>58.358695143373751</v>
      </c>
      <c r="F26" s="25">
        <f t="shared" si="4"/>
        <v>59</v>
      </c>
      <c r="G26" s="31">
        <f t="shared" si="5"/>
        <v>214.51378332040488</v>
      </c>
      <c r="H26" s="25">
        <f t="shared" si="6"/>
        <v>1148.6903709819046</v>
      </c>
      <c r="I26" s="25">
        <f t="shared" si="7"/>
        <v>238.92759716423618</v>
      </c>
      <c r="J26" s="25">
        <f t="shared" si="8"/>
        <v>909.7627738176684</v>
      </c>
      <c r="K26" s="25">
        <f t="shared" si="9"/>
        <v>454.8813869088342</v>
      </c>
      <c r="L26" s="25">
        <f t="shared" si="11"/>
        <v>454.8813869088342</v>
      </c>
      <c r="M26" s="27">
        <f t="shared" ref="M26" si="19">(A26+A27+A28)/3</f>
        <v>24033.798755622516</v>
      </c>
    </row>
    <row r="27" spans="1:13" s="32" customFormat="1" x14ac:dyDescent="0.3">
      <c r="A27" s="25">
        <f t="shared" si="0"/>
        <v>24030.722938591724</v>
      </c>
      <c r="B27" s="30">
        <f t="shared" si="10"/>
        <v>9.8500000000000004E-2</v>
      </c>
      <c r="C27" s="25">
        <f t="shared" si="1"/>
        <v>25539.852339135283</v>
      </c>
      <c r="D27" s="25">
        <f t="shared" si="2"/>
        <v>1509.1294005435593</v>
      </c>
      <c r="E27" s="25">
        <f t="shared" si="3"/>
        <v>59.484690333272404</v>
      </c>
      <c r="F27" s="25">
        <f t="shared" si="4"/>
        <v>59</v>
      </c>
      <c r="G27" s="31">
        <f t="shared" si="5"/>
        <v>218.65269505570544</v>
      </c>
      <c r="H27" s="25">
        <f t="shared" si="6"/>
        <v>1171.9920151545814</v>
      </c>
      <c r="I27" s="25">
        <f t="shared" si="7"/>
        <v>243.77433915215295</v>
      </c>
      <c r="J27" s="25">
        <f t="shared" si="8"/>
        <v>928.21767600242845</v>
      </c>
      <c r="K27" s="25">
        <f t="shared" si="9"/>
        <v>464.10883800121422</v>
      </c>
      <c r="L27" s="25">
        <f t="shared" si="11"/>
        <v>464.10883800121422</v>
      </c>
      <c r="M27" s="28"/>
    </row>
    <row r="28" spans="1:13" s="32" customFormat="1" x14ac:dyDescent="0.3">
      <c r="A28" s="25">
        <f t="shared" si="0"/>
        <v>24494.831776592939</v>
      </c>
      <c r="B28" s="30">
        <f t="shared" si="10"/>
        <v>9.8500000000000004E-2</v>
      </c>
      <c r="C28" s="25">
        <f t="shared" si="1"/>
        <v>26033.107212162973</v>
      </c>
      <c r="D28" s="25">
        <f t="shared" si="2"/>
        <v>1538.2754355700345</v>
      </c>
      <c r="E28" s="25">
        <f t="shared" si="3"/>
        <v>60.633526786507083</v>
      </c>
      <c r="F28" s="25">
        <f t="shared" si="4"/>
        <v>59</v>
      </c>
      <c r="G28" s="31">
        <f t="shared" si="5"/>
        <v>222.87556627299909</v>
      </c>
      <c r="H28" s="25">
        <f t="shared" si="6"/>
        <v>1195.7663425105284</v>
      </c>
      <c r="I28" s="25">
        <f t="shared" si="7"/>
        <v>248.71939924218992</v>
      </c>
      <c r="J28" s="25">
        <f t="shared" si="8"/>
        <v>947.04694326833851</v>
      </c>
      <c r="K28" s="25">
        <f t="shared" si="9"/>
        <v>473.52347163416925</v>
      </c>
      <c r="L28" s="25">
        <f t="shared" si="11"/>
        <v>473.52347163416925</v>
      </c>
      <c r="M28" s="28"/>
    </row>
    <row r="29" spans="1:13" s="32" customFormat="1" x14ac:dyDescent="0.3">
      <c r="A29" s="25">
        <f t="shared" si="0"/>
        <v>24968.355248227108</v>
      </c>
      <c r="B29" s="30">
        <f t="shared" si="10"/>
        <v>9.8500000000000004E-2</v>
      </c>
      <c r="C29" s="25">
        <f t="shared" si="1"/>
        <v>26536.367957815768</v>
      </c>
      <c r="D29" s="25">
        <f t="shared" si="2"/>
        <v>1568.0127095886601</v>
      </c>
      <c r="E29" s="25">
        <f t="shared" si="3"/>
        <v>61.805667847251449</v>
      </c>
      <c r="F29" s="25">
        <f t="shared" si="4"/>
        <v>59</v>
      </c>
      <c r="G29" s="31">
        <f t="shared" si="5"/>
        <v>227.18410012399994</v>
      </c>
      <c r="H29" s="25">
        <f t="shared" si="6"/>
        <v>1220.0229416174086</v>
      </c>
      <c r="I29" s="25">
        <f t="shared" si="7"/>
        <v>253.76477185642099</v>
      </c>
      <c r="J29" s="25">
        <f t="shared" si="8"/>
        <v>966.25816976098758</v>
      </c>
      <c r="K29" s="25">
        <f t="shared" si="9"/>
        <v>483.12908488049379</v>
      </c>
      <c r="L29" s="25">
        <f t="shared" si="11"/>
        <v>483.12908488049379</v>
      </c>
      <c r="M29" s="27">
        <f t="shared" ref="M29" si="20">(A29+A30+A31)/3</f>
        <v>25454.751155426813</v>
      </c>
    </row>
    <row r="30" spans="1:13" s="32" customFormat="1" x14ac:dyDescent="0.3">
      <c r="A30" s="25">
        <f t="shared" si="0"/>
        <v>25451.484333107601</v>
      </c>
      <c r="B30" s="30">
        <f t="shared" si="10"/>
        <v>9.8500000000000004E-2</v>
      </c>
      <c r="C30" s="25">
        <f t="shared" si="1"/>
        <v>27049.837549226759</v>
      </c>
      <c r="D30" s="25">
        <f t="shared" si="2"/>
        <v>1598.3532161191579</v>
      </c>
      <c r="E30" s="25">
        <f t="shared" si="3"/>
        <v>63.001586258801233</v>
      </c>
      <c r="F30" s="25">
        <f t="shared" si="4"/>
        <v>59</v>
      </c>
      <c r="G30" s="31">
        <f t="shared" si="5"/>
        <v>231.58003430953664</v>
      </c>
      <c r="H30" s="25">
        <f t="shared" si="6"/>
        <v>1244.7715955508202</v>
      </c>
      <c r="I30" s="25">
        <f t="shared" si="7"/>
        <v>258.91249187457061</v>
      </c>
      <c r="J30" s="25">
        <f t="shared" si="8"/>
        <v>985.85910367624956</v>
      </c>
      <c r="K30" s="25">
        <f t="shared" si="9"/>
        <v>492.92955183812478</v>
      </c>
      <c r="L30" s="25">
        <f t="shared" si="11"/>
        <v>492.92955183812478</v>
      </c>
      <c r="M30" s="28"/>
    </row>
    <row r="31" spans="1:13" s="32" customFormat="1" x14ac:dyDescent="0.3">
      <c r="A31" s="25">
        <f t="shared" si="0"/>
        <v>25944.413884945727</v>
      </c>
      <c r="B31" s="30">
        <f t="shared" si="10"/>
        <v>9.8500000000000004E-2</v>
      </c>
      <c r="C31" s="25">
        <f t="shared" si="1"/>
        <v>27573.723076920316</v>
      </c>
      <c r="D31" s="25">
        <f t="shared" si="2"/>
        <v>1629.3091919745893</v>
      </c>
      <c r="E31" s="25">
        <f t="shared" si="3"/>
        <v>64.221764354239241</v>
      </c>
      <c r="F31" s="25">
        <f t="shared" si="4"/>
        <v>59</v>
      </c>
      <c r="G31" s="31">
        <f t="shared" si="5"/>
        <v>236.06514178039509</v>
      </c>
      <c r="H31" s="25">
        <f t="shared" si="6"/>
        <v>1270.022285839955</v>
      </c>
      <c r="I31" s="25">
        <f t="shared" si="7"/>
        <v>264.16463545471066</v>
      </c>
      <c r="J31" s="25">
        <f t="shared" si="8"/>
        <v>1005.8576503852444</v>
      </c>
      <c r="K31" s="25">
        <f t="shared" si="9"/>
        <v>502.92882519262218</v>
      </c>
      <c r="L31" s="25">
        <f t="shared" si="11"/>
        <v>502.92882519262218</v>
      </c>
      <c r="M31" s="28"/>
    </row>
    <row r="32" spans="1:13" s="32" customFormat="1" x14ac:dyDescent="0.3">
      <c r="A32" s="25">
        <f t="shared" si="0"/>
        <v>26447.34271013835</v>
      </c>
      <c r="B32" s="30">
        <f t="shared" si="10"/>
        <v>9.8500000000000004E-2</v>
      </c>
      <c r="C32" s="25">
        <f t="shared" si="1"/>
        <v>28108.235832335038</v>
      </c>
      <c r="D32" s="25">
        <f t="shared" si="2"/>
        <v>1660.8931221966886</v>
      </c>
      <c r="E32" s="25">
        <f t="shared" si="3"/>
        <v>65.466694250968061</v>
      </c>
      <c r="F32" s="25">
        <f t="shared" si="4"/>
        <v>59</v>
      </c>
      <c r="G32" s="31">
        <f t="shared" si="5"/>
        <v>240.64123145237778</v>
      </c>
      <c r="H32" s="25">
        <f t="shared" si="6"/>
        <v>1295.7851964933429</v>
      </c>
      <c r="I32" s="25">
        <f t="shared" si="7"/>
        <v>269.52332087061535</v>
      </c>
      <c r="J32" s="25">
        <f t="shared" si="8"/>
        <v>1026.2618756227275</v>
      </c>
      <c r="K32" s="25">
        <f t="shared" si="9"/>
        <v>513.13093781136376</v>
      </c>
      <c r="L32" s="25">
        <f t="shared" si="11"/>
        <v>513.13093781136376</v>
      </c>
      <c r="M32" s="27">
        <f t="shared" ref="M32" si="21">(A32+A33+A34)/3</f>
        <v>26963.943336802611</v>
      </c>
    </row>
    <row r="33" spans="1:13" s="32" customFormat="1" x14ac:dyDescent="0.3">
      <c r="A33" s="25">
        <f t="shared" si="0"/>
        <v>26960.473647949715</v>
      </c>
      <c r="B33" s="30">
        <f t="shared" si="10"/>
        <v>9.8500000000000004E-2</v>
      </c>
      <c r="C33" s="25">
        <f t="shared" si="1"/>
        <v>28653.591393040955</v>
      </c>
      <c r="D33" s="25">
        <f t="shared" si="2"/>
        <v>1693.1177450912401</v>
      </c>
      <c r="E33" s="25">
        <f t="shared" si="3"/>
        <v>66.736878049188789</v>
      </c>
      <c r="F33" s="25">
        <f t="shared" si="4"/>
        <v>59</v>
      </c>
      <c r="G33" s="31">
        <f t="shared" si="5"/>
        <v>245.31014893586868</v>
      </c>
      <c r="H33" s="25">
        <f t="shared" si="6"/>
        <v>1322.0707181061825</v>
      </c>
      <c r="I33" s="25">
        <f t="shared" si="7"/>
        <v>274.99070936608598</v>
      </c>
      <c r="J33" s="25">
        <f t="shared" si="8"/>
        <v>1047.0800087400967</v>
      </c>
      <c r="K33" s="25">
        <f t="shared" si="9"/>
        <v>523.54000437004834</v>
      </c>
      <c r="L33" s="25">
        <f t="shared" si="11"/>
        <v>523.54000437004834</v>
      </c>
      <c r="M33" s="28"/>
    </row>
    <row r="34" spans="1:13" s="32" customFormat="1" x14ac:dyDescent="0.3">
      <c r="A34" s="25">
        <f t="shared" si="0"/>
        <v>27484.013652319765</v>
      </c>
      <c r="B34" s="30">
        <f t="shared" si="10"/>
        <v>9.8500000000000004E-2</v>
      </c>
      <c r="C34" s="25">
        <f t="shared" si="1"/>
        <v>29210.009709685444</v>
      </c>
      <c r="D34" s="25">
        <f t="shared" si="2"/>
        <v>1725.996057365679</v>
      </c>
      <c r="E34" s="25">
        <f t="shared" si="3"/>
        <v>68.032828034406251</v>
      </c>
      <c r="F34" s="25">
        <f t="shared" si="4"/>
        <v>59</v>
      </c>
      <c r="G34" s="31">
        <f t="shared" si="5"/>
        <v>250.07377728019745</v>
      </c>
      <c r="H34" s="25">
        <f t="shared" si="6"/>
        <v>1348.8894520510753</v>
      </c>
      <c r="I34" s="25">
        <f t="shared" si="7"/>
        <v>280.5690060266237</v>
      </c>
      <c r="J34" s="25">
        <f t="shared" si="8"/>
        <v>1068.3204460244515</v>
      </c>
      <c r="K34" s="25">
        <f t="shared" si="9"/>
        <v>534.16022301222574</v>
      </c>
      <c r="L34" s="25">
        <f t="shared" si="11"/>
        <v>534.16022301222574</v>
      </c>
      <c r="M34" s="28"/>
    </row>
    <row r="35" spans="1:13" s="32" customFormat="1" x14ac:dyDescent="0.3">
      <c r="A35" s="25">
        <f t="shared" si="0"/>
        <v>28018.173875331991</v>
      </c>
      <c r="B35" s="30">
        <f t="shared" si="10"/>
        <v>9.8500000000000004E-2</v>
      </c>
      <c r="C35" s="25">
        <f t="shared" si="1"/>
        <v>29777.71519470284</v>
      </c>
      <c r="D35" s="25">
        <f t="shared" si="2"/>
        <v>1759.5413193708482</v>
      </c>
      <c r="E35" s="25">
        <f t="shared" si="3"/>
        <v>69.35506688404179</v>
      </c>
      <c r="F35" s="25">
        <f t="shared" si="4"/>
        <v>59</v>
      </c>
      <c r="G35" s="31">
        <f t="shared" si="5"/>
        <v>254.93403773310354</v>
      </c>
      <c r="H35" s="25">
        <f t="shared" si="6"/>
        <v>1376.2522147537029</v>
      </c>
      <c r="I35" s="25">
        <f t="shared" si="7"/>
        <v>286.26046066877024</v>
      </c>
      <c r="J35" s="25">
        <f t="shared" si="8"/>
        <v>1089.9917540849326</v>
      </c>
      <c r="K35" s="25">
        <f t="shared" si="9"/>
        <v>544.9958770424663</v>
      </c>
      <c r="L35" s="25">
        <f t="shared" si="11"/>
        <v>544.9958770424663</v>
      </c>
      <c r="M35" s="27">
        <f t="shared" ref="M35" si="22">(A35+A36+A37)/3</f>
        <v>28566.854905578264</v>
      </c>
    </row>
    <row r="36" spans="1:13" s="32" customFormat="1" x14ac:dyDescent="0.3">
      <c r="A36" s="25">
        <f t="shared" si="0"/>
        <v>28563.169752374459</v>
      </c>
      <c r="B36" s="30">
        <f t="shared" si="10"/>
        <v>9.8500000000000004E-2</v>
      </c>
      <c r="C36" s="25">
        <f t="shared" si="1"/>
        <v>30356.936812823573</v>
      </c>
      <c r="D36" s="25">
        <f t="shared" si="2"/>
        <v>1793.7670604491141</v>
      </c>
      <c r="E36" s="25">
        <f t="shared" si="3"/>
        <v>70.704127878237628</v>
      </c>
      <c r="F36" s="25">
        <f t="shared" si="4"/>
        <v>59</v>
      </c>
      <c r="G36" s="31">
        <f t="shared" si="5"/>
        <v>259.8928905156061</v>
      </c>
      <c r="H36" s="25">
        <f t="shared" si="6"/>
        <v>1404.1700420552704</v>
      </c>
      <c r="I36" s="25">
        <f t="shared" si="7"/>
        <v>292.06736874749623</v>
      </c>
      <c r="J36" s="25">
        <f t="shared" si="8"/>
        <v>1112.1026733077742</v>
      </c>
      <c r="K36" s="25">
        <f t="shared" si="9"/>
        <v>556.05133665388712</v>
      </c>
      <c r="L36" s="25">
        <f t="shared" si="11"/>
        <v>556.05133665388712</v>
      </c>
      <c r="M36" s="28"/>
    </row>
    <row r="37" spans="1:13" s="32" customFormat="1" x14ac:dyDescent="0.3">
      <c r="A37" s="25">
        <f t="shared" si="0"/>
        <v>29119.221089028346</v>
      </c>
      <c r="B37" s="30">
        <f t="shared" si="10"/>
        <v>9.8500000000000004E-2</v>
      </c>
      <c r="C37" s="25">
        <f t="shared" si="1"/>
        <v>30947.908173419324</v>
      </c>
      <c r="D37" s="25">
        <f t="shared" si="2"/>
        <v>1828.6870843909783</v>
      </c>
      <c r="E37" s="25">
        <f t="shared" si="3"/>
        <v>72.080555114937198</v>
      </c>
      <c r="F37" s="25">
        <f t="shared" si="4"/>
        <v>59</v>
      </c>
      <c r="G37" s="31">
        <f t="shared" si="5"/>
        <v>264.95233561259261</v>
      </c>
      <c r="H37" s="25">
        <f t="shared" si="6"/>
        <v>1432.6541936634485</v>
      </c>
      <c r="I37" s="25">
        <f t="shared" si="7"/>
        <v>297.99207228199731</v>
      </c>
      <c r="J37" s="25">
        <f t="shared" si="8"/>
        <v>1134.6621213814512</v>
      </c>
      <c r="K37" s="25">
        <f t="shared" si="9"/>
        <v>567.33106069072562</v>
      </c>
      <c r="L37" s="25">
        <f t="shared" si="11"/>
        <v>567.33106069072562</v>
      </c>
      <c r="M37" s="28"/>
    </row>
    <row r="38" spans="1:13" s="32" customFormat="1" x14ac:dyDescent="0.3">
      <c r="A38" s="25">
        <f t="shared" si="0"/>
        <v>29686.552149719071</v>
      </c>
      <c r="B38" s="30">
        <f t="shared" si="10"/>
        <v>9.8500000000000004E-2</v>
      </c>
      <c r="C38" s="25">
        <f t="shared" si="1"/>
        <v>31550.867624721428</v>
      </c>
      <c r="D38" s="25">
        <f t="shared" si="2"/>
        <v>1864.3154750023568</v>
      </c>
      <c r="E38" s="25">
        <f t="shared" si="3"/>
        <v>73.484903729328593</v>
      </c>
      <c r="F38" s="25">
        <f t="shared" si="4"/>
        <v>59</v>
      </c>
      <c r="G38" s="31">
        <f t="shared" si="5"/>
        <v>270.114413579445</v>
      </c>
      <c r="H38" s="25">
        <f t="shared" si="6"/>
        <v>1461.7161576935832</v>
      </c>
      <c r="I38" s="25">
        <f t="shared" si="7"/>
        <v>304.03696080026538</v>
      </c>
      <c r="J38" s="25">
        <f t="shared" si="8"/>
        <v>1157.6791968933178</v>
      </c>
      <c r="K38" s="25">
        <f t="shared" si="9"/>
        <v>578.8395984466589</v>
      </c>
      <c r="L38" s="25">
        <f t="shared" si="11"/>
        <v>578.8395984466589</v>
      </c>
      <c r="M38" s="27">
        <f t="shared" ref="M38" si="23">(A38+A39+A40)/3</f>
        <v>30269.305745850044</v>
      </c>
    </row>
    <row r="39" spans="1:13" s="32" customFormat="1" x14ac:dyDescent="0.3">
      <c r="A39" s="25">
        <f t="shared" si="0"/>
        <v>30265.39174816573</v>
      </c>
      <c r="B39" s="30">
        <f t="shared" si="10"/>
        <v>9.8500000000000004E-2</v>
      </c>
      <c r="C39" s="25">
        <f t="shared" si="1"/>
        <v>32166.058349950537</v>
      </c>
      <c r="D39" s="25">
        <f t="shared" si="2"/>
        <v>1900.6666017848074</v>
      </c>
      <c r="E39" s="25">
        <f t="shared" si="3"/>
        <v>74.917740117739513</v>
      </c>
      <c r="F39" s="25">
        <f t="shared" si="4"/>
        <v>59</v>
      </c>
      <c r="G39" s="31">
        <f t="shared" si="5"/>
        <v>275.38120636502822</v>
      </c>
      <c r="H39" s="25">
        <f t="shared" si="6"/>
        <v>1491.3676553020398</v>
      </c>
      <c r="I39" s="25">
        <f t="shared" si="7"/>
        <v>310.20447230282429</v>
      </c>
      <c r="J39" s="25">
        <f t="shared" si="8"/>
        <v>1181.1631829992155</v>
      </c>
      <c r="K39" s="25">
        <f t="shared" si="9"/>
        <v>590.58159149960773</v>
      </c>
      <c r="L39" s="25">
        <f t="shared" si="11"/>
        <v>590.58159149960773</v>
      </c>
      <c r="M39" s="28"/>
    </row>
    <row r="40" spans="1:13" s="32" customFormat="1" x14ac:dyDescent="0.3">
      <c r="A40" s="25">
        <f t="shared" si="0"/>
        <v>30855.973339665339</v>
      </c>
      <c r="B40" s="30">
        <f t="shared" si="10"/>
        <v>9.8500000000000004E-2</v>
      </c>
      <c r="C40" s="25">
        <f t="shared" si="1"/>
        <v>32793.728465396322</v>
      </c>
      <c r="D40" s="25">
        <f t="shared" si="2"/>
        <v>1937.7551257309824</v>
      </c>
      <c r="E40" s="25">
        <f t="shared" si="3"/>
        <v>76.379642166073992</v>
      </c>
      <c r="F40" s="25">
        <f t="shared" si="4"/>
        <v>59</v>
      </c>
      <c r="G40" s="31">
        <f t="shared" si="5"/>
        <v>280.75483815137369</v>
      </c>
      <c r="H40" s="25">
        <f t="shared" si="6"/>
        <v>1521.6206454135347</v>
      </c>
      <c r="I40" s="25">
        <f t="shared" si="7"/>
        <v>316.49709424601525</v>
      </c>
      <c r="J40" s="25">
        <f t="shared" si="8"/>
        <v>1205.1235511675195</v>
      </c>
      <c r="K40" s="25">
        <f t="shared" si="9"/>
        <v>602.56177558375975</v>
      </c>
      <c r="L40" s="25">
        <f t="shared" si="11"/>
        <v>602.56177558375975</v>
      </c>
      <c r="M40" s="28"/>
    </row>
    <row r="41" spans="1:13" s="32" customFormat="1" x14ac:dyDescent="0.3">
      <c r="A41" s="25">
        <f t="shared" si="0"/>
        <v>31458.535115249098</v>
      </c>
      <c r="B41" s="30">
        <f t="shared" si="10"/>
        <v>9.8500000000000004E-2</v>
      </c>
      <c r="C41" s="25">
        <f t="shared" si="1"/>
        <v>33434.131120486738</v>
      </c>
      <c r="D41" s="25">
        <f t="shared" si="2"/>
        <v>1975.5960052376395</v>
      </c>
      <c r="E41" s="25">
        <f t="shared" si="3"/>
        <v>77.871199482883</v>
      </c>
      <c r="F41" s="25">
        <f t="shared" si="4"/>
        <v>59</v>
      </c>
      <c r="G41" s="31">
        <f t="shared" si="5"/>
        <v>286.23747621039587</v>
      </c>
      <c r="H41" s="25">
        <f t="shared" si="6"/>
        <v>1552.4873295443606</v>
      </c>
      <c r="I41" s="25">
        <f t="shared" si="7"/>
        <v>322.91736454522703</v>
      </c>
      <c r="J41" s="25">
        <f t="shared" si="8"/>
        <v>1229.5699649991336</v>
      </c>
      <c r="K41" s="25">
        <f t="shared" si="9"/>
        <v>614.78498249956681</v>
      </c>
      <c r="L41" s="25">
        <f t="shared" si="11"/>
        <v>614.78498249956681</v>
      </c>
      <c r="M41" s="27">
        <f t="shared" ref="M41" si="24">(A41+A42+A43)/3</f>
        <v>32077.477150936305</v>
      </c>
    </row>
    <row r="42" spans="1:13" s="32" customFormat="1" x14ac:dyDescent="0.3">
      <c r="A42" s="25">
        <f t="shared" si="0"/>
        <v>32073.320097748667</v>
      </c>
      <c r="B42" s="30">
        <f t="shared" si="10"/>
        <v>9.8500000000000004E-2</v>
      </c>
      <c r="C42" s="25">
        <f t="shared" si="1"/>
        <v>34087.524599887285</v>
      </c>
      <c r="D42" s="25">
        <f t="shared" si="2"/>
        <v>2014.2045021386184</v>
      </c>
      <c r="E42" s="25">
        <f t="shared" si="3"/>
        <v>79.393013637163136</v>
      </c>
      <c r="F42" s="25">
        <f t="shared" si="4"/>
        <v>59</v>
      </c>
      <c r="G42" s="31">
        <f t="shared" si="5"/>
        <v>291.831331777988</v>
      </c>
      <c r="H42" s="25">
        <f t="shared" si="6"/>
        <v>1583.9801567234672</v>
      </c>
      <c r="I42" s="25">
        <f t="shared" si="7"/>
        <v>329.46787259848122</v>
      </c>
      <c r="J42" s="25">
        <f t="shared" si="8"/>
        <v>1254.5122841249859</v>
      </c>
      <c r="K42" s="25">
        <f t="shared" si="9"/>
        <v>627.25614206249293</v>
      </c>
      <c r="L42" s="25">
        <f t="shared" si="11"/>
        <v>627.25614206249293</v>
      </c>
      <c r="M42" s="28"/>
    </row>
    <row r="43" spans="1:13" s="32" customFormat="1" x14ac:dyDescent="0.3">
      <c r="A43" s="25">
        <f t="shared" si="0"/>
        <v>32700.576239811158</v>
      </c>
      <c r="B43" s="30">
        <f t="shared" si="10"/>
        <v>9.8500000000000004E-2</v>
      </c>
      <c r="C43" s="25">
        <f t="shared" si="1"/>
        <v>34754.172427671299</v>
      </c>
      <c r="D43" s="25">
        <f t="shared" si="2"/>
        <v>2053.5961878601411</v>
      </c>
      <c r="E43" s="25">
        <f t="shared" si="3"/>
        <v>80.945698400978941</v>
      </c>
      <c r="F43" s="25">
        <f t="shared" si="4"/>
        <v>59</v>
      </c>
      <c r="G43" s="31">
        <f t="shared" si="5"/>
        <v>297.53866094584885</v>
      </c>
      <c r="H43" s="25">
        <f t="shared" si="6"/>
        <v>1616.1118285133134</v>
      </c>
      <c r="I43" s="25">
        <f t="shared" si="7"/>
        <v>336.15126033076928</v>
      </c>
      <c r="J43" s="25">
        <f t="shared" si="8"/>
        <v>1279.9605681825442</v>
      </c>
      <c r="K43" s="25">
        <f t="shared" si="9"/>
        <v>639.9802840912721</v>
      </c>
      <c r="L43" s="25">
        <f t="shared" si="11"/>
        <v>639.9802840912721</v>
      </c>
      <c r="M43" s="28"/>
    </row>
    <row r="44" spans="1:13" s="32" customFormat="1" x14ac:dyDescent="0.3">
      <c r="A44" s="25">
        <f t="shared" si="0"/>
        <v>33340.556523902429</v>
      </c>
      <c r="B44" s="30">
        <f t="shared" si="10"/>
        <v>9.8500000000000004E-2</v>
      </c>
      <c r="C44" s="25">
        <f t="shared" si="1"/>
        <v>35434.343473603498</v>
      </c>
      <c r="D44" s="25">
        <f t="shared" si="2"/>
        <v>2093.7869497010688</v>
      </c>
      <c r="E44" s="25">
        <f t="shared" si="3"/>
        <v>82.5298799970071</v>
      </c>
      <c r="F44" s="25">
        <f t="shared" si="4"/>
        <v>59</v>
      </c>
      <c r="G44" s="31">
        <f t="shared" si="5"/>
        <v>303.36176557140089</v>
      </c>
      <c r="H44" s="25">
        <f t="shared" si="6"/>
        <v>1648.8953041326608</v>
      </c>
      <c r="I44" s="25">
        <f t="shared" si="7"/>
        <v>342.97022325959352</v>
      </c>
      <c r="J44" s="25">
        <f t="shared" si="8"/>
        <v>1305.9250808730674</v>
      </c>
      <c r="K44" s="25">
        <f t="shared" si="9"/>
        <v>652.96254043653369</v>
      </c>
      <c r="L44" s="25">
        <f t="shared" si="11"/>
        <v>652.96254043653369</v>
      </c>
      <c r="M44" s="27">
        <f t="shared" ref="M44" si="25">(A44+A45+A46)/3</f>
        <v>33997.934266543634</v>
      </c>
    </row>
    <row r="45" spans="1:13" s="32" customFormat="1" x14ac:dyDescent="0.3">
      <c r="A45" s="25">
        <f t="shared" si="0"/>
        <v>33993.519064338965</v>
      </c>
      <c r="B45" s="30">
        <f t="shared" si="10"/>
        <v>9.8500000000000004E-2</v>
      </c>
      <c r="C45" s="25">
        <f t="shared" si="1"/>
        <v>36128.312061579454</v>
      </c>
      <c r="D45" s="25">
        <f t="shared" si="2"/>
        <v>2134.7929972404891</v>
      </c>
      <c r="E45" s="25">
        <f t="shared" si="3"/>
        <v>84.146197351102103</v>
      </c>
      <c r="F45" s="25">
        <f t="shared" si="4"/>
        <v>59</v>
      </c>
      <c r="G45" s="31">
        <f t="shared" si="5"/>
        <v>309.30299420616603</v>
      </c>
      <c r="H45" s="25">
        <f t="shared" si="6"/>
        <v>1682.3438056832208</v>
      </c>
      <c r="I45" s="25">
        <f t="shared" si="7"/>
        <v>349.92751158210996</v>
      </c>
      <c r="J45" s="25">
        <f t="shared" si="8"/>
        <v>1332.4162941011109</v>
      </c>
      <c r="K45" s="25">
        <f t="shared" si="9"/>
        <v>666.20814705055545</v>
      </c>
      <c r="L45" s="25">
        <f t="shared" si="11"/>
        <v>666.20814705055545</v>
      </c>
      <c r="M45" s="28"/>
    </row>
    <row r="46" spans="1:13" s="32" customFormat="1" x14ac:dyDescent="0.3">
      <c r="A46" s="25">
        <f t="shared" si="0"/>
        <v>34659.727211389523</v>
      </c>
      <c r="B46" s="30">
        <f t="shared" si="10"/>
        <v>9.8500000000000004E-2</v>
      </c>
      <c r="C46" s="25">
        <f t="shared" si="1"/>
        <v>36836.358080264785</v>
      </c>
      <c r="D46" s="25">
        <f t="shared" si="2"/>
        <v>2176.6308688752615</v>
      </c>
      <c r="E46" s="25">
        <f t="shared" si="3"/>
        <v>85.795302349985164</v>
      </c>
      <c r="F46" s="25">
        <f t="shared" si="4"/>
        <v>59</v>
      </c>
      <c r="G46" s="31">
        <f t="shared" si="5"/>
        <v>315.3647430429744</v>
      </c>
      <c r="H46" s="25">
        <f t="shared" si="6"/>
        <v>1716.4708234823017</v>
      </c>
      <c r="I46" s="25">
        <f t="shared" si="7"/>
        <v>357.0259312843188</v>
      </c>
      <c r="J46" s="25">
        <f t="shared" si="8"/>
        <v>1359.4448921979829</v>
      </c>
      <c r="K46" s="25">
        <f t="shared" si="9"/>
        <v>679.72244609899144</v>
      </c>
      <c r="L46" s="25">
        <f t="shared" si="11"/>
        <v>679.72244609899144</v>
      </c>
      <c r="M46" s="28"/>
    </row>
    <row r="47" spans="1:13" s="32" customFormat="1" x14ac:dyDescent="0.3">
      <c r="A47" s="25">
        <f t="shared" si="0"/>
        <v>35339.449657488512</v>
      </c>
      <c r="B47" s="30">
        <f t="shared" si="10"/>
        <v>9.8500000000000004E-2</v>
      </c>
      <c r="C47" s="25">
        <f t="shared" si="1"/>
        <v>37558.767095978787</v>
      </c>
      <c r="D47" s="25">
        <f t="shared" si="2"/>
        <v>2219.3174384902741</v>
      </c>
      <c r="E47" s="25">
        <f t="shared" si="3"/>
        <v>87.477860104160754</v>
      </c>
      <c r="F47" s="25">
        <f t="shared" si="4"/>
        <v>59</v>
      </c>
      <c r="G47" s="31">
        <f t="shared" si="5"/>
        <v>321.54945688238712</v>
      </c>
      <c r="H47" s="25">
        <f t="shared" si="6"/>
        <v>1751.2901215037261</v>
      </c>
      <c r="I47" s="25">
        <f t="shared" si="7"/>
        <v>364.26834527277509</v>
      </c>
      <c r="J47" s="25">
        <f t="shared" si="8"/>
        <v>1387.021776230951</v>
      </c>
      <c r="K47" s="25">
        <f t="shared" si="9"/>
        <v>693.5108881154755</v>
      </c>
      <c r="L47" s="25">
        <f t="shared" si="11"/>
        <v>693.5108881154755</v>
      </c>
      <c r="M47" s="27">
        <f t="shared" ref="M47" si="26">(A47+A48+A49)/3</f>
        <v>36037.649927632126</v>
      </c>
    </row>
    <row r="48" spans="1:13" s="32" customFormat="1" x14ac:dyDescent="0.3">
      <c r="A48" s="25">
        <f t="shared" si="0"/>
        <v>36032.960545603986</v>
      </c>
      <c r="B48" s="30">
        <f t="shared" si="10"/>
        <v>9.8500000000000004E-2</v>
      </c>
      <c r="C48" s="25">
        <f t="shared" si="1"/>
        <v>38295.830467867912</v>
      </c>
      <c r="D48" s="25">
        <f t="shared" si="2"/>
        <v>2262.8699222639261</v>
      </c>
      <c r="E48" s="25">
        <f t="shared" si="3"/>
        <v>89.194549216166266</v>
      </c>
      <c r="F48" s="25">
        <f t="shared" si="4"/>
        <v>59</v>
      </c>
      <c r="G48" s="31">
        <f t="shared" si="5"/>
        <v>327.85963011872383</v>
      </c>
      <c r="H48" s="25">
        <f t="shared" si="6"/>
        <v>1786.8157429290361</v>
      </c>
      <c r="I48" s="25">
        <f t="shared" si="7"/>
        <v>371.65767452923956</v>
      </c>
      <c r="J48" s="25">
        <f t="shared" si="8"/>
        <v>1415.1580683997965</v>
      </c>
      <c r="K48" s="25">
        <f t="shared" si="9"/>
        <v>707.57903419989827</v>
      </c>
      <c r="L48" s="25">
        <f t="shared" si="11"/>
        <v>707.57903419989827</v>
      </c>
      <c r="M48" s="28"/>
    </row>
    <row r="49" spans="1:13" s="32" customFormat="1" x14ac:dyDescent="0.3">
      <c r="A49" s="25">
        <f t="shared" si="0"/>
        <v>36740.539579803888</v>
      </c>
      <c r="B49" s="30">
        <f t="shared" si="10"/>
        <v>9.8500000000000004E-2</v>
      </c>
      <c r="C49" s="25">
        <f t="shared" si="1"/>
        <v>39047.845465415572</v>
      </c>
      <c r="D49" s="25">
        <f t="shared" si="2"/>
        <v>2307.3058856116841</v>
      </c>
      <c r="E49" s="25">
        <f t="shared" si="3"/>
        <v>90.946062054263351</v>
      </c>
      <c r="F49" s="25">
        <f t="shared" si="4"/>
        <v>59</v>
      </c>
      <c r="G49" s="31">
        <f t="shared" si="5"/>
        <v>334.29780774609191</v>
      </c>
      <c r="H49" s="25">
        <f t="shared" si="6"/>
        <v>1823.062015811329</v>
      </c>
      <c r="I49" s="25">
        <f t="shared" si="7"/>
        <v>379.19689928875647</v>
      </c>
      <c r="J49" s="25">
        <f t="shared" si="8"/>
        <v>1443.8651165225726</v>
      </c>
      <c r="K49" s="25">
        <f t="shared" si="9"/>
        <v>721.93255826128632</v>
      </c>
      <c r="L49" s="25">
        <f t="shared" si="11"/>
        <v>721.93255826128632</v>
      </c>
      <c r="M49" s="28"/>
    </row>
    <row r="50" spans="1:13" s="32" customFormat="1" x14ac:dyDescent="0.3">
      <c r="A50" s="25">
        <f t="shared" si="0"/>
        <v>37462.472138065175</v>
      </c>
      <c r="B50" s="30">
        <f t="shared" si="10"/>
        <v>9.8500000000000004E-2</v>
      </c>
      <c r="C50" s="25">
        <f t="shared" si="1"/>
        <v>39815.115388335667</v>
      </c>
      <c r="D50" s="25">
        <f t="shared" si="2"/>
        <v>2352.643250270492</v>
      </c>
      <c r="E50" s="25">
        <f t="shared" si="3"/>
        <v>92.733105031680992</v>
      </c>
      <c r="F50" s="25">
        <f t="shared" si="4"/>
        <v>59</v>
      </c>
      <c r="G50" s="31">
        <f t="shared" si="5"/>
        <v>340.86658638482317</v>
      </c>
      <c r="H50" s="25">
        <f t="shared" si="6"/>
        <v>1860.0435588539876</v>
      </c>
      <c r="I50" s="25">
        <f t="shared" si="7"/>
        <v>386.88906024162947</v>
      </c>
      <c r="J50" s="25">
        <f t="shared" si="8"/>
        <v>1473.1544986123581</v>
      </c>
      <c r="K50" s="25">
        <f t="shared" si="9"/>
        <v>736.57724930617906</v>
      </c>
      <c r="L50" s="25">
        <f t="shared" si="11"/>
        <v>736.57724930617906</v>
      </c>
      <c r="M50" s="27">
        <f t="shared" ref="M50" si="27">(A50+A51+A52)/3</f>
        <v>38204.029975527112</v>
      </c>
    </row>
    <row r="51" spans="1:13" s="32" customFormat="1" x14ac:dyDescent="0.3">
      <c r="A51" s="25">
        <f t="shared" si="0"/>
        <v>38199.049387371357</v>
      </c>
      <c r="B51" s="30">
        <f t="shared" si="10"/>
        <v>9.8500000000000004E-2</v>
      </c>
      <c r="C51" s="25">
        <f t="shared" si="1"/>
        <v>40597.949688898276</v>
      </c>
      <c r="D51" s="25">
        <f t="shared" si="2"/>
        <v>2398.9003015269191</v>
      </c>
      <c r="E51" s="25">
        <f t="shared" si="3"/>
        <v>94.556398891523543</v>
      </c>
      <c r="F51" s="25">
        <f t="shared" si="4"/>
        <v>59</v>
      </c>
      <c r="G51" s="31">
        <f t="shared" si="5"/>
        <v>347.56861532873273</v>
      </c>
      <c r="H51" s="25">
        <f t="shared" si="6"/>
        <v>1897.7752873066627</v>
      </c>
      <c r="I51" s="25">
        <f t="shared" si="7"/>
        <v>394.7372597597859</v>
      </c>
      <c r="J51" s="25">
        <f t="shared" si="8"/>
        <v>1503.0380275468767</v>
      </c>
      <c r="K51" s="25">
        <f t="shared" si="9"/>
        <v>751.51901377343836</v>
      </c>
      <c r="L51" s="25">
        <f t="shared" si="11"/>
        <v>751.51901377343836</v>
      </c>
      <c r="M51" s="28"/>
    </row>
    <row r="52" spans="1:13" s="32" customFormat="1" x14ac:dyDescent="0.3">
      <c r="A52" s="25">
        <f t="shared" si="0"/>
        <v>38950.568401144796</v>
      </c>
      <c r="B52" s="30">
        <f t="shared" si="10"/>
        <v>9.8500000000000004E-2</v>
      </c>
      <c r="C52" s="25">
        <f t="shared" si="1"/>
        <v>41396.664096736691</v>
      </c>
      <c r="D52" s="25">
        <f t="shared" si="2"/>
        <v>2446.0956955918955</v>
      </c>
      <c r="E52" s="25">
        <f t="shared" si="3"/>
        <v>96.41667899745778</v>
      </c>
      <c r="F52" s="25">
        <f t="shared" si="4"/>
        <v>59</v>
      </c>
      <c r="G52" s="31">
        <f t="shared" si="5"/>
        <v>354.40659761362184</v>
      </c>
      <c r="H52" s="25">
        <f t="shared" si="6"/>
        <v>1936.2724189808157</v>
      </c>
      <c r="I52" s="25">
        <f t="shared" si="7"/>
        <v>402.74466314800975</v>
      </c>
      <c r="J52" s="25">
        <f t="shared" si="8"/>
        <v>1533.527755832806</v>
      </c>
      <c r="K52" s="25">
        <f t="shared" si="9"/>
        <v>766.76387791640298</v>
      </c>
      <c r="L52" s="25">
        <f t="shared" si="11"/>
        <v>766.76387791640298</v>
      </c>
      <c r="M52" s="28"/>
    </row>
    <row r="53" spans="1:13" s="32" customFormat="1" x14ac:dyDescent="0.3">
      <c r="A53" s="25">
        <f t="shared" si="0"/>
        <v>39717.3322790612</v>
      </c>
      <c r="B53" s="30">
        <f t="shared" si="10"/>
        <v>9.8500000000000004E-2</v>
      </c>
      <c r="C53" s="25">
        <f t="shared" si="1"/>
        <v>42211.580746186242</v>
      </c>
      <c r="D53" s="25">
        <f t="shared" si="2"/>
        <v>2494.2484671250422</v>
      </c>
      <c r="E53" s="25">
        <f t="shared" si="3"/>
        <v>98.314695630296924</v>
      </c>
      <c r="F53" s="25">
        <f t="shared" si="4"/>
        <v>59</v>
      </c>
      <c r="G53" s="31">
        <f t="shared" si="5"/>
        <v>361.38329110745525</v>
      </c>
      <c r="H53" s="25">
        <f t="shared" si="6"/>
        <v>1975.5504803872898</v>
      </c>
      <c r="I53" s="25">
        <f t="shared" si="7"/>
        <v>410.9144999205563</v>
      </c>
      <c r="J53" s="25">
        <f t="shared" si="8"/>
        <v>1564.6359804667336</v>
      </c>
      <c r="K53" s="25">
        <f t="shared" si="9"/>
        <v>782.3179902333668</v>
      </c>
      <c r="L53" s="25">
        <f t="shared" si="11"/>
        <v>782.3179902333668</v>
      </c>
      <c r="M53" s="27">
        <f t="shared" ref="M53" si="28">(A53+A54+A55)/3</f>
        <v>40504.940147199239</v>
      </c>
    </row>
    <row r="54" spans="1:13" s="32" customFormat="1" x14ac:dyDescent="0.3">
      <c r="A54" s="25">
        <f t="shared" si="0"/>
        <v>40499.650269294565</v>
      </c>
      <c r="B54" s="30">
        <f t="shared" si="10"/>
        <v>9.8500000000000004E-2</v>
      </c>
      <c r="C54" s="25">
        <f t="shared" si="1"/>
        <v>43043.028306206259</v>
      </c>
      <c r="D54" s="25">
        <f t="shared" si="2"/>
        <v>2543.3780369116939</v>
      </c>
      <c r="E54" s="25">
        <f t="shared" si="3"/>
        <v>100.25121429060097</v>
      </c>
      <c r="F54" s="25">
        <f t="shared" si="4"/>
        <v>59</v>
      </c>
      <c r="G54" s="31">
        <f t="shared" si="5"/>
        <v>368.50150962265371</v>
      </c>
      <c r="H54" s="25">
        <f t="shared" si="6"/>
        <v>2015.6253129984391</v>
      </c>
      <c r="I54" s="25">
        <f t="shared" si="7"/>
        <v>419.25006510367535</v>
      </c>
      <c r="J54" s="25">
        <f t="shared" si="8"/>
        <v>1596.3752478947638</v>
      </c>
      <c r="K54" s="25">
        <f t="shared" si="9"/>
        <v>798.18762394738189</v>
      </c>
      <c r="L54" s="25">
        <f t="shared" si="11"/>
        <v>798.18762394738189</v>
      </c>
      <c r="M54" s="28"/>
    </row>
    <row r="55" spans="1:13" s="32" customFormat="1" x14ac:dyDescent="0.3">
      <c r="A55" s="25">
        <f t="shared" si="0"/>
        <v>41297.837893241944</v>
      </c>
      <c r="B55" s="30">
        <f t="shared" si="10"/>
        <v>9.8500000000000004E-2</v>
      </c>
      <c r="C55" s="25">
        <f t="shared" si="1"/>
        <v>43891.342112937535</v>
      </c>
      <c r="D55" s="25">
        <f t="shared" si="2"/>
        <v>2593.504219695591</v>
      </c>
      <c r="E55" s="25">
        <f t="shared" si="3"/>
        <v>102.22701600741536</v>
      </c>
      <c r="F55" s="25">
        <f t="shared" si="4"/>
        <v>59</v>
      </c>
      <c r="G55" s="31">
        <f t="shared" si="5"/>
        <v>375.76412405094987</v>
      </c>
      <c r="H55" s="25">
        <f t="shared" si="6"/>
        <v>2056.5130796372259</v>
      </c>
      <c r="I55" s="25">
        <f t="shared" si="7"/>
        <v>427.75472056454305</v>
      </c>
      <c r="J55" s="25">
        <f t="shared" si="8"/>
        <v>1628.7583590726829</v>
      </c>
      <c r="K55" s="25">
        <f t="shared" si="9"/>
        <v>814.37917953634144</v>
      </c>
      <c r="L55" s="25">
        <f t="shared" ref="L55:L60" si="29">J55-K55</f>
        <v>814.37917953634144</v>
      </c>
      <c r="M55" s="28"/>
    </row>
    <row r="56" spans="1:13" s="32" customFormat="1" x14ac:dyDescent="0.3">
      <c r="A56" s="25">
        <f t="shared" si="0"/>
        <v>42112.217072778287</v>
      </c>
      <c r="B56" s="30">
        <f t="shared" si="10"/>
        <v>9.8500000000000004E-2</v>
      </c>
      <c r="C56" s="25">
        <f t="shared" si="1"/>
        <v>44756.864304948758</v>
      </c>
      <c r="D56" s="25">
        <f t="shared" si="2"/>
        <v>2644.6472321704714</v>
      </c>
      <c r="E56" s="25">
        <f t="shared" si="3"/>
        <v>104.24289765327244</v>
      </c>
      <c r="F56" s="25">
        <f t="shared" si="4"/>
        <v>59</v>
      </c>
      <c r="G56" s="31">
        <f t="shared" si="5"/>
        <v>383.17406352126494</v>
      </c>
      <c r="H56" s="25">
        <f t="shared" si="6"/>
        <v>2098.230270995934</v>
      </c>
      <c r="I56" s="25">
        <f t="shared" si="7"/>
        <v>436.43189636715431</v>
      </c>
      <c r="J56" s="25">
        <f t="shared" si="8"/>
        <v>1661.7983746287796</v>
      </c>
      <c r="K56" s="25">
        <f t="shared" si="9"/>
        <v>830.89918731438979</v>
      </c>
      <c r="L56" s="25">
        <f t="shared" si="29"/>
        <v>830.89918731438979</v>
      </c>
      <c r="M56" s="27">
        <f t="shared" ref="M56" si="30">(A56+A57+A58)/3</f>
        <v>42948.73463434312</v>
      </c>
    </row>
    <row r="57" spans="1:13" s="32" customFormat="1" x14ac:dyDescent="0.3">
      <c r="A57" s="25">
        <f t="shared" si="0"/>
        <v>42943.116260092676</v>
      </c>
      <c r="B57" s="30">
        <f t="shared" si="10"/>
        <v>9.8500000000000004E-2</v>
      </c>
      <c r="C57" s="25">
        <f t="shared" si="1"/>
        <v>45639.943961226498</v>
      </c>
      <c r="D57" s="25">
        <f t="shared" si="2"/>
        <v>2696.8277011338214</v>
      </c>
      <c r="E57" s="25">
        <f t="shared" si="3"/>
        <v>106.299672265583</v>
      </c>
      <c r="F57" s="25">
        <f t="shared" si="4"/>
        <v>59</v>
      </c>
      <c r="G57" s="31">
        <f t="shared" si="5"/>
        <v>390.7343165810729</v>
      </c>
      <c r="H57" s="25">
        <f t="shared" si="6"/>
        <v>2140.7937122871654</v>
      </c>
      <c r="I57" s="25">
        <f t="shared" si="7"/>
        <v>445.28509215573047</v>
      </c>
      <c r="J57" s="25">
        <f t="shared" si="8"/>
        <v>1695.5086201314348</v>
      </c>
      <c r="K57" s="25">
        <f t="shared" si="9"/>
        <v>847.75431006571739</v>
      </c>
      <c r="L57" s="25">
        <f t="shared" si="29"/>
        <v>847.75431006571739</v>
      </c>
      <c r="M57" s="28"/>
    </row>
    <row r="58" spans="1:13" s="32" customFormat="1" x14ac:dyDescent="0.3">
      <c r="A58" s="25">
        <f t="shared" si="0"/>
        <v>43790.870570158397</v>
      </c>
      <c r="B58" s="30">
        <f t="shared" si="10"/>
        <v>9.8500000000000004E-2</v>
      </c>
      <c r="C58" s="25">
        <f t="shared" si="1"/>
        <v>46540.937241964341</v>
      </c>
      <c r="D58" s="25">
        <f t="shared" si="2"/>
        <v>2750.0666718059438</v>
      </c>
      <c r="E58" s="25">
        <f t="shared" si="3"/>
        <v>108.39816937454728</v>
      </c>
      <c r="F58" s="25">
        <f t="shared" si="4"/>
        <v>59</v>
      </c>
      <c r="G58" s="31">
        <f t="shared" si="5"/>
        <v>398.4479324017305</v>
      </c>
      <c r="H58" s="25">
        <f t="shared" si="6"/>
        <v>2184.2205700296659</v>
      </c>
      <c r="I58" s="25">
        <f t="shared" si="7"/>
        <v>454.31787856617052</v>
      </c>
      <c r="J58" s="25">
        <f t="shared" si="8"/>
        <v>1729.9026914634953</v>
      </c>
      <c r="K58" s="25">
        <f t="shared" si="9"/>
        <v>864.95134573174767</v>
      </c>
      <c r="L58" s="25">
        <f t="shared" si="29"/>
        <v>864.95134573174767</v>
      </c>
      <c r="M58" s="28"/>
    </row>
    <row r="59" spans="1:13" s="32" customFormat="1" x14ac:dyDescent="0.3">
      <c r="A59" s="25">
        <f t="shared" si="0"/>
        <v>44655.821915890141</v>
      </c>
      <c r="B59" s="30">
        <f t="shared" si="10"/>
        <v>9.8500000000000004E-2</v>
      </c>
      <c r="C59" s="25">
        <f t="shared" si="1"/>
        <v>47460.207532208042</v>
      </c>
      <c r="D59" s="25">
        <f t="shared" si="2"/>
        <v>2804.3856163179007</v>
      </c>
      <c r="E59" s="25">
        <f t="shared" si="3"/>
        <v>110.53923533771781</v>
      </c>
      <c r="F59" s="25">
        <f t="shared" si="4"/>
        <v>59</v>
      </c>
      <c r="G59" s="31">
        <f t="shared" si="5"/>
        <v>406.31802200825604</v>
      </c>
      <c r="H59" s="25">
        <f t="shared" si="6"/>
        <v>2228.528358971927</v>
      </c>
      <c r="I59" s="25">
        <f t="shared" si="7"/>
        <v>463.53389866616084</v>
      </c>
      <c r="J59" s="25">
        <f t="shared" si="8"/>
        <v>1764.9944603057661</v>
      </c>
      <c r="K59" s="25">
        <f t="shared" si="9"/>
        <v>882.49723015288305</v>
      </c>
      <c r="L59" s="25">
        <f t="shared" si="29"/>
        <v>882.49723015288305</v>
      </c>
      <c r="M59" s="27">
        <f t="shared" ref="M59" si="31">(A59+A60+A61)/3</f>
        <v>45544.286415947332</v>
      </c>
    </row>
    <row r="60" spans="1:13" s="32" customFormat="1" x14ac:dyDescent="0.3">
      <c r="A60" s="25">
        <f t="shared" si="0"/>
        <v>45538.319146043024</v>
      </c>
      <c r="B60" s="30">
        <f t="shared" si="10"/>
        <v>9.8500000000000004E-2</v>
      </c>
      <c r="C60" s="25">
        <f t="shared" si="1"/>
        <v>48398.125588414521</v>
      </c>
      <c r="D60" s="25">
        <f t="shared" si="2"/>
        <v>2859.8064423714968</v>
      </c>
      <c r="E60" s="25">
        <f t="shared" si="3"/>
        <v>112.72373368134905</v>
      </c>
      <c r="F60" s="25">
        <f t="shared" si="4"/>
        <v>59</v>
      </c>
      <c r="G60" s="31">
        <f t="shared" si="5"/>
        <v>414.34775953405642</v>
      </c>
      <c r="H60" s="25">
        <f t="shared" si="6"/>
        <v>2273.7349491560913</v>
      </c>
      <c r="I60" s="25">
        <f t="shared" si="7"/>
        <v>472.93686942446703</v>
      </c>
      <c r="J60" s="25">
        <f t="shared" si="8"/>
        <v>1800.7980797316243</v>
      </c>
      <c r="K60" s="25">
        <f t="shared" si="9"/>
        <v>900.39903986581214</v>
      </c>
      <c r="L60" s="25">
        <f t="shared" si="29"/>
        <v>900.39903986581214</v>
      </c>
      <c r="M60" s="28"/>
    </row>
    <row r="61" spans="1:13" s="32" customFormat="1" x14ac:dyDescent="0.3">
      <c r="A61" s="25">
        <f t="shared" si="0"/>
        <v>46438.718185908838</v>
      </c>
      <c r="B61" s="30">
        <f t="shared" si="10"/>
        <v>9.8500000000000004E-2</v>
      </c>
      <c r="C61" s="25">
        <f t="shared" si="1"/>
        <v>49355.069687983909</v>
      </c>
      <c r="D61" s="25">
        <f t="shared" si="2"/>
        <v>2916.351502075071</v>
      </c>
      <c r="E61" s="25">
        <f t="shared" si="3"/>
        <v>114.9525454486713</v>
      </c>
      <c r="F61" s="25">
        <f t="shared" si="4"/>
        <v>59</v>
      </c>
      <c r="G61" s="31">
        <f t="shared" si="5"/>
        <v>422.54038350110579</v>
      </c>
      <c r="H61" s="25">
        <f t="shared" si="6"/>
        <v>2319.8585731252942</v>
      </c>
      <c r="I61" s="25">
        <f t="shared" si="7"/>
        <v>482.53058321006125</v>
      </c>
      <c r="J61" s="25">
        <f t="shared" si="8"/>
        <v>1837.327989915233</v>
      </c>
      <c r="K61" s="25">
        <f t="shared" si="9"/>
        <v>918.66399495761652</v>
      </c>
      <c r="L61" s="25">
        <f t="shared" ref="L61:L86" si="32">J61-K61</f>
        <v>918.66399495761652</v>
      </c>
      <c r="M61" s="28"/>
    </row>
    <row r="62" spans="1:13" s="32" customFormat="1" x14ac:dyDescent="0.3">
      <c r="A62" s="25">
        <f t="shared" si="0"/>
        <v>47357.382180866451</v>
      </c>
      <c r="B62" s="30">
        <f t="shared" si="10"/>
        <v>9.8500000000000004E-2</v>
      </c>
      <c r="C62" s="25">
        <f t="shared" si="1"/>
        <v>50331.425781824859</v>
      </c>
      <c r="D62" s="25">
        <f t="shared" si="2"/>
        <v>2974.0436009584082</v>
      </c>
      <c r="E62" s="25">
        <f t="shared" si="3"/>
        <v>117.22656955522956</v>
      </c>
      <c r="F62" s="25">
        <f t="shared" si="4"/>
        <v>59</v>
      </c>
      <c r="G62" s="31">
        <f t="shared" si="5"/>
        <v>430.89919812609327</v>
      </c>
      <c r="H62" s="25">
        <f t="shared" si="6"/>
        <v>2366.9178332770853</v>
      </c>
      <c r="I62" s="25">
        <f t="shared" si="7"/>
        <v>492.31890932163378</v>
      </c>
      <c r="J62" s="25">
        <f t="shared" si="8"/>
        <v>1874.5989239554515</v>
      </c>
      <c r="K62" s="25">
        <f t="shared" si="9"/>
        <v>937.29946197772574</v>
      </c>
      <c r="L62" s="25">
        <f t="shared" si="32"/>
        <v>937.29946197772574</v>
      </c>
      <c r="M62" s="27">
        <f t="shared" ref="M62" si="33">(A62+A63+A64)/3</f>
        <v>48301.019474487926</v>
      </c>
    </row>
    <row r="63" spans="1:13" s="32" customFormat="1" x14ac:dyDescent="0.3">
      <c r="A63" s="25">
        <f t="shared" si="0"/>
        <v>48294.681642844174</v>
      </c>
      <c r="B63" s="30">
        <f t="shared" si="10"/>
        <v>9.8500000000000004E-2</v>
      </c>
      <c r="C63" s="25">
        <f t="shared" si="1"/>
        <v>51327.587650014786</v>
      </c>
      <c r="D63" s="25">
        <f t="shared" si="2"/>
        <v>3032.9060071706117</v>
      </c>
      <c r="E63" s="25">
        <f t="shared" si="3"/>
        <v>119.54672315143074</v>
      </c>
      <c r="F63" s="25">
        <f t="shared" si="4"/>
        <v>59</v>
      </c>
      <c r="G63" s="31">
        <f t="shared" si="5"/>
        <v>439.42757465306693</v>
      </c>
      <c r="H63" s="25">
        <f t="shared" si="6"/>
        <v>2414.9317093661139</v>
      </c>
      <c r="I63" s="25">
        <f t="shared" si="7"/>
        <v>502.30579554815171</v>
      </c>
      <c r="J63" s="25">
        <f t="shared" si="8"/>
        <v>1912.6259138179621</v>
      </c>
      <c r="K63" s="25">
        <f t="shared" si="9"/>
        <v>956.31295690898105</v>
      </c>
      <c r="L63" s="25">
        <f t="shared" si="32"/>
        <v>956.31295690898105</v>
      </c>
      <c r="M63" s="28"/>
    </row>
    <row r="64" spans="1:13" s="32" customFormat="1" x14ac:dyDescent="0.3">
      <c r="A64" s="25">
        <f t="shared" si="0"/>
        <v>49250.994599753154</v>
      </c>
      <c r="B64" s="30">
        <f t="shared" si="10"/>
        <v>9.8500000000000004E-2</v>
      </c>
      <c r="C64" s="25">
        <f t="shared" si="1"/>
        <v>52343.957060617649</v>
      </c>
      <c r="D64" s="25">
        <f t="shared" si="2"/>
        <v>3092.9624608644954</v>
      </c>
      <c r="E64" s="25">
        <f t="shared" si="3"/>
        <v>121.91394199244495</v>
      </c>
      <c r="F64" s="25">
        <f t="shared" si="4"/>
        <v>59</v>
      </c>
      <c r="G64" s="31">
        <f t="shared" si="5"/>
        <v>448.12895271311015</v>
      </c>
      <c r="H64" s="25">
        <f t="shared" si="6"/>
        <v>2463.9195661589401</v>
      </c>
      <c r="I64" s="25">
        <f t="shared" si="7"/>
        <v>512.4952697610596</v>
      </c>
      <c r="J64" s="25">
        <f t="shared" si="8"/>
        <v>1951.4242963978804</v>
      </c>
      <c r="K64" s="25">
        <f t="shared" si="9"/>
        <v>975.71214819894021</v>
      </c>
      <c r="L64" s="25">
        <f t="shared" si="32"/>
        <v>975.71214819894021</v>
      </c>
      <c r="M64" s="28"/>
    </row>
    <row r="65" spans="1:13" s="32" customFormat="1" x14ac:dyDescent="0.3">
      <c r="A65" s="25">
        <f t="shared" si="0"/>
        <v>50226.706747952092</v>
      </c>
      <c r="B65" s="30">
        <f t="shared" si="10"/>
        <v>9.8500000000000004E-2</v>
      </c>
      <c r="C65" s="25">
        <f t="shared" si="1"/>
        <v>53380.943931723479</v>
      </c>
      <c r="D65" s="25">
        <f t="shared" si="2"/>
        <v>3154.2371837713872</v>
      </c>
      <c r="E65" s="25">
        <f t="shared" si="3"/>
        <v>124.32918081561067</v>
      </c>
      <c r="F65" s="25">
        <f t="shared" si="4"/>
        <v>59</v>
      </c>
      <c r="G65" s="31">
        <f t="shared" si="5"/>
        <v>457.00684171160037</v>
      </c>
      <c r="H65" s="25">
        <f t="shared" si="6"/>
        <v>2513.9011612441764</v>
      </c>
      <c r="I65" s="25">
        <f t="shared" si="7"/>
        <v>522.89144153878874</v>
      </c>
      <c r="J65" s="25">
        <f t="shared" si="8"/>
        <v>1991.0097197053876</v>
      </c>
      <c r="K65" s="25">
        <f t="shared" si="9"/>
        <v>995.50485985269381</v>
      </c>
      <c r="L65" s="25">
        <f t="shared" si="32"/>
        <v>995.50485985269381</v>
      </c>
      <c r="M65" s="27">
        <f t="shared" ref="M65" si="34">(A65+A66+A67)/3</f>
        <v>51228.943012716692</v>
      </c>
    </row>
    <row r="66" spans="1:13" s="33" customFormat="1" x14ac:dyDescent="0.3">
      <c r="A66" s="25">
        <f t="shared" si="0"/>
        <v>51222.211607804784</v>
      </c>
      <c r="B66" s="30">
        <f t="shared" si="10"/>
        <v>9.8500000000000004E-2</v>
      </c>
      <c r="C66" s="25">
        <f t="shared" si="1"/>
        <v>54438.96649677492</v>
      </c>
      <c r="D66" s="25">
        <f t="shared" si="2"/>
        <v>3216.7548889701357</v>
      </c>
      <c r="E66" s="25">
        <f t="shared" si="3"/>
        <v>126.79341372549564</v>
      </c>
      <c r="F66" s="25">
        <f t="shared" si="4"/>
        <v>59</v>
      </c>
      <c r="G66" s="31">
        <f t="shared" si="5"/>
        <v>466.06482224360838</v>
      </c>
      <c r="H66" s="25">
        <f t="shared" si="6"/>
        <v>2564.8966530010316</v>
      </c>
      <c r="I66" s="25">
        <f t="shared" si="7"/>
        <v>533.49850382421459</v>
      </c>
      <c r="J66" s="25">
        <f t="shared" si="8"/>
        <v>2031.398149176817</v>
      </c>
      <c r="K66" s="25">
        <f t="shared" si="9"/>
        <v>1015.6990745884085</v>
      </c>
      <c r="L66" s="25">
        <f t="shared" si="32"/>
        <v>1015.6990745884085</v>
      </c>
      <c r="M66" s="28"/>
    </row>
    <row r="67" spans="1:13" s="33" customFormat="1" x14ac:dyDescent="0.3">
      <c r="A67" s="25">
        <f t="shared" ref="A67:A130" si="35">A66+L66</f>
        <v>52237.910682393194</v>
      </c>
      <c r="B67" s="30">
        <f t="shared" si="10"/>
        <v>9.8500000000000004E-2</v>
      </c>
      <c r="C67" s="25">
        <f t="shared" ref="C67:C130" si="36">A67*1.0628</f>
        <v>55518.451473247485</v>
      </c>
      <c r="D67" s="25">
        <f t="shared" ref="D67:D130" si="37">C67-A67</f>
        <v>3280.5407908542911</v>
      </c>
      <c r="E67" s="25">
        <f t="shared" ref="E67:E130" si="38">((A67+C67)*0.0012)</f>
        <v>129.30763458676878</v>
      </c>
      <c r="F67" s="25">
        <f t="shared" ref="F67:F130" si="39">(25*2)*1.18</f>
        <v>59</v>
      </c>
      <c r="G67" s="31">
        <f t="shared" ref="G67:G130" si="40">A67 * (17/30) * 8.5 * (B67 / 365 * 7)</f>
        <v>475.30654753801008</v>
      </c>
      <c r="H67" s="25">
        <f t="shared" ref="H67:H130" si="41">D67-E67-F67-G67</f>
        <v>2616.9266087295123</v>
      </c>
      <c r="I67" s="25">
        <f t="shared" ref="I67:I130" si="42">(H67*0.2)*1.04</f>
        <v>544.32073461573862</v>
      </c>
      <c r="J67" s="25">
        <f t="shared" ref="J67:J130" si="43">H67-I67</f>
        <v>2072.6058741137736</v>
      </c>
      <c r="K67" s="25">
        <f t="shared" ref="K67:K130" si="44">J67*0.5</f>
        <v>1036.3029370568868</v>
      </c>
      <c r="L67" s="25">
        <f t="shared" si="32"/>
        <v>1036.3029370568868</v>
      </c>
      <c r="M67" s="28"/>
    </row>
    <row r="68" spans="1:13" s="33" customFormat="1" x14ac:dyDescent="0.3">
      <c r="A68" s="25">
        <f t="shared" si="35"/>
        <v>53274.213619450078</v>
      </c>
      <c r="B68" s="30">
        <f t="shared" ref="B68:B131" si="45">B67</f>
        <v>9.8500000000000004E-2</v>
      </c>
      <c r="C68" s="25">
        <f t="shared" si="36"/>
        <v>56619.834234751543</v>
      </c>
      <c r="D68" s="25">
        <f t="shared" si="37"/>
        <v>3345.6206153014646</v>
      </c>
      <c r="E68" s="25">
        <f t="shared" si="38"/>
        <v>131.87285742504193</v>
      </c>
      <c r="F68" s="25">
        <f t="shared" si="39"/>
        <v>59</v>
      </c>
      <c r="G68" s="31">
        <f t="shared" si="40"/>
        <v>484.73574493089177</v>
      </c>
      <c r="H68" s="25">
        <f t="shared" si="41"/>
        <v>2670.0120129455308</v>
      </c>
      <c r="I68" s="25">
        <f t="shared" si="42"/>
        <v>555.36249869267044</v>
      </c>
      <c r="J68" s="25">
        <f t="shared" si="43"/>
        <v>2114.6495142528602</v>
      </c>
      <c r="K68" s="25">
        <f t="shared" si="44"/>
        <v>1057.3247571264301</v>
      </c>
      <c r="L68" s="25">
        <f t="shared" si="32"/>
        <v>1057.3247571264301</v>
      </c>
      <c r="M68" s="27">
        <f t="shared" ref="M68" si="46">(A68+A69+A70)/3</f>
        <v>54338.68779527914</v>
      </c>
    </row>
    <row r="69" spans="1:13" s="33" customFormat="1" x14ac:dyDescent="0.3">
      <c r="A69" s="25">
        <f t="shared" si="35"/>
        <v>54331.538376576507</v>
      </c>
      <c r="B69" s="30">
        <f t="shared" si="45"/>
        <v>9.8500000000000004E-2</v>
      </c>
      <c r="C69" s="25">
        <f t="shared" si="36"/>
        <v>57743.55898662551</v>
      </c>
      <c r="D69" s="25">
        <f t="shared" si="37"/>
        <v>3412.0206100490032</v>
      </c>
      <c r="E69" s="25">
        <f t="shared" si="38"/>
        <v>134.4901168358424</v>
      </c>
      <c r="F69" s="25">
        <f t="shared" si="39"/>
        <v>59</v>
      </c>
      <c r="G69" s="31">
        <f t="shared" si="40"/>
        <v>494.35621736884502</v>
      </c>
      <c r="H69" s="25">
        <f t="shared" si="41"/>
        <v>2724.1742758443156</v>
      </c>
      <c r="I69" s="25">
        <f t="shared" si="42"/>
        <v>566.62824937561766</v>
      </c>
      <c r="J69" s="25">
        <f t="shared" si="43"/>
        <v>2157.5460264686981</v>
      </c>
      <c r="K69" s="25">
        <f t="shared" si="44"/>
        <v>1078.773013234349</v>
      </c>
      <c r="L69" s="25">
        <f t="shared" si="32"/>
        <v>1078.773013234349</v>
      </c>
      <c r="M69" s="28"/>
    </row>
    <row r="70" spans="1:13" s="33" customFormat="1" x14ac:dyDescent="0.3">
      <c r="A70" s="25">
        <f t="shared" si="35"/>
        <v>55410.311389810857</v>
      </c>
      <c r="B70" s="30">
        <f t="shared" si="45"/>
        <v>9.8500000000000004E-2</v>
      </c>
      <c r="C70" s="25">
        <f t="shared" si="36"/>
        <v>58890.07894509098</v>
      </c>
      <c r="D70" s="25">
        <f t="shared" si="37"/>
        <v>3479.7675552801229</v>
      </c>
      <c r="E70" s="25">
        <f t="shared" si="38"/>
        <v>137.16046840188218</v>
      </c>
      <c r="F70" s="25">
        <f t="shared" si="39"/>
        <v>59</v>
      </c>
      <c r="G70" s="31">
        <f t="shared" si="40"/>
        <v>504.17184494275597</v>
      </c>
      <c r="H70" s="25">
        <f t="shared" si="41"/>
        <v>2779.435241935485</v>
      </c>
      <c r="I70" s="25">
        <f t="shared" si="42"/>
        <v>578.12253032258093</v>
      </c>
      <c r="J70" s="25">
        <f t="shared" si="43"/>
        <v>2201.312711612904</v>
      </c>
      <c r="K70" s="25">
        <f t="shared" si="44"/>
        <v>1100.656355806452</v>
      </c>
      <c r="L70" s="25">
        <f t="shared" si="32"/>
        <v>1100.656355806452</v>
      </c>
      <c r="M70" s="28"/>
    </row>
    <row r="71" spans="1:13" s="33" customFormat="1" x14ac:dyDescent="0.3">
      <c r="A71" s="25">
        <f t="shared" si="35"/>
        <v>56510.967745617309</v>
      </c>
      <c r="B71" s="30">
        <f t="shared" si="45"/>
        <v>9.8500000000000004E-2</v>
      </c>
      <c r="C71" s="25">
        <f t="shared" si="36"/>
        <v>60059.856520042071</v>
      </c>
      <c r="D71" s="25">
        <f t="shared" si="37"/>
        <v>3548.8887744247622</v>
      </c>
      <c r="E71" s="25">
        <f t="shared" si="38"/>
        <v>139.88498911879125</v>
      </c>
      <c r="F71" s="25">
        <f t="shared" si="39"/>
        <v>59</v>
      </c>
      <c r="G71" s="31">
        <f t="shared" si="40"/>
        <v>514.18658645270807</v>
      </c>
      <c r="H71" s="25">
        <f t="shared" si="41"/>
        <v>2835.8171988532631</v>
      </c>
      <c r="I71" s="25">
        <f t="shared" si="42"/>
        <v>589.84997736147875</v>
      </c>
      <c r="J71" s="25">
        <f t="shared" si="43"/>
        <v>2245.9672214917846</v>
      </c>
      <c r="K71" s="25">
        <f t="shared" si="44"/>
        <v>1122.9836107458923</v>
      </c>
      <c r="L71" s="25">
        <f t="shared" si="32"/>
        <v>1122.9836107458923</v>
      </c>
      <c r="M71" s="27">
        <f t="shared" ref="M71" si="47">(A71+A72+A73)/3</f>
        <v>57641.544747112173</v>
      </c>
    </row>
    <row r="72" spans="1:13" s="33" customFormat="1" x14ac:dyDescent="0.3">
      <c r="A72" s="25">
        <f t="shared" si="35"/>
        <v>57633.951356363199</v>
      </c>
      <c r="B72" s="30">
        <f t="shared" si="45"/>
        <v>9.8500000000000004E-2</v>
      </c>
      <c r="C72" s="25">
        <f t="shared" si="36"/>
        <v>61253.363501542808</v>
      </c>
      <c r="D72" s="25">
        <f t="shared" si="37"/>
        <v>3619.4121451796091</v>
      </c>
      <c r="E72" s="25">
        <f t="shared" si="38"/>
        <v>142.66477782948721</v>
      </c>
      <c r="F72" s="25">
        <f t="shared" si="39"/>
        <v>59</v>
      </c>
      <c r="G72" s="31">
        <f t="shared" si="40"/>
        <v>524.4044810046297</v>
      </c>
      <c r="H72" s="25">
        <f t="shared" si="41"/>
        <v>2893.3428863454919</v>
      </c>
      <c r="I72" s="25">
        <f t="shared" si="42"/>
        <v>601.81532035986231</v>
      </c>
      <c r="J72" s="25">
        <f t="shared" si="43"/>
        <v>2291.5275659856297</v>
      </c>
      <c r="K72" s="25">
        <f t="shared" si="44"/>
        <v>1145.7637829928149</v>
      </c>
      <c r="L72" s="25">
        <f t="shared" si="32"/>
        <v>1145.7637829928149</v>
      </c>
      <c r="M72" s="28"/>
    </row>
    <row r="73" spans="1:13" s="33" customFormat="1" x14ac:dyDescent="0.3">
      <c r="A73" s="25">
        <f t="shared" si="35"/>
        <v>58779.715139356013</v>
      </c>
      <c r="B73" s="30">
        <f t="shared" si="45"/>
        <v>9.8500000000000004E-2</v>
      </c>
      <c r="C73" s="25">
        <f t="shared" si="36"/>
        <v>62471.081250107571</v>
      </c>
      <c r="D73" s="25">
        <f t="shared" si="37"/>
        <v>3691.3661107515582</v>
      </c>
      <c r="E73" s="25">
        <f t="shared" si="38"/>
        <v>145.50095566735629</v>
      </c>
      <c r="F73" s="25">
        <f t="shared" si="39"/>
        <v>59</v>
      </c>
      <c r="G73" s="31">
        <f t="shared" si="40"/>
        <v>534.82964963933091</v>
      </c>
      <c r="H73" s="25">
        <f t="shared" si="41"/>
        <v>2952.035505444871</v>
      </c>
      <c r="I73" s="25">
        <f t="shared" si="42"/>
        <v>614.02338513253312</v>
      </c>
      <c r="J73" s="25">
        <f t="shared" si="43"/>
        <v>2338.0121203123381</v>
      </c>
      <c r="K73" s="25">
        <f t="shared" si="44"/>
        <v>1169.006060156169</v>
      </c>
      <c r="L73" s="25">
        <f t="shared" si="32"/>
        <v>1169.006060156169</v>
      </c>
      <c r="M73" s="28"/>
    </row>
    <row r="74" spans="1:13" s="33" customFormat="1" x14ac:dyDescent="0.3">
      <c r="A74" s="25">
        <f t="shared" si="35"/>
        <v>59948.721199512183</v>
      </c>
      <c r="B74" s="30">
        <f t="shared" si="45"/>
        <v>9.8500000000000004E-2</v>
      </c>
      <c r="C74" s="25">
        <f t="shared" si="36"/>
        <v>63713.500890841548</v>
      </c>
      <c r="D74" s="25">
        <f t="shared" si="37"/>
        <v>3764.7796913293641</v>
      </c>
      <c r="E74" s="25">
        <f t="shared" si="38"/>
        <v>148.39466650842445</v>
      </c>
      <c r="F74" s="25">
        <f t="shared" si="39"/>
        <v>59</v>
      </c>
      <c r="G74" s="31">
        <f t="shared" si="40"/>
        <v>545.46629699458435</v>
      </c>
      <c r="H74" s="25">
        <f t="shared" si="41"/>
        <v>3011.9187278263553</v>
      </c>
      <c r="I74" s="25">
        <f t="shared" si="42"/>
        <v>626.4790953878819</v>
      </c>
      <c r="J74" s="25">
        <f t="shared" si="43"/>
        <v>2385.4396324384734</v>
      </c>
      <c r="K74" s="25">
        <f t="shared" si="44"/>
        <v>1192.7198162192367</v>
      </c>
      <c r="L74" s="25">
        <f t="shared" si="32"/>
        <v>1192.7198162192367</v>
      </c>
      <c r="M74" s="27">
        <f t="shared" ref="M74" si="48">(A74+A75+A76)/3</f>
        <v>61149.505948765109</v>
      </c>
    </row>
    <row r="75" spans="1:13" s="33" customFormat="1" x14ac:dyDescent="0.3">
      <c r="A75" s="25">
        <f t="shared" si="35"/>
        <v>61141.44101573142</v>
      </c>
      <c r="B75" s="30">
        <f t="shared" si="45"/>
        <v>9.8500000000000004E-2</v>
      </c>
      <c r="C75" s="25">
        <f t="shared" si="36"/>
        <v>64981.123511519349</v>
      </c>
      <c r="D75" s="25">
        <f t="shared" si="37"/>
        <v>3839.6824957879289</v>
      </c>
      <c r="E75" s="25">
        <f t="shared" si="38"/>
        <v>151.3470774327009</v>
      </c>
      <c r="F75" s="25">
        <f t="shared" si="39"/>
        <v>59</v>
      </c>
      <c r="G75" s="31">
        <f t="shared" si="40"/>
        <v>556.31871300092359</v>
      </c>
      <c r="H75" s="25">
        <f t="shared" si="41"/>
        <v>3073.0167053543041</v>
      </c>
      <c r="I75" s="25">
        <f t="shared" si="42"/>
        <v>639.18747471369534</v>
      </c>
      <c r="J75" s="25">
        <f t="shared" si="43"/>
        <v>2433.8292306406088</v>
      </c>
      <c r="K75" s="25">
        <f t="shared" si="44"/>
        <v>1216.9146153203044</v>
      </c>
      <c r="L75" s="25">
        <f t="shared" si="32"/>
        <v>1216.9146153203044</v>
      </c>
      <c r="M75" s="28"/>
    </row>
    <row r="76" spans="1:13" x14ac:dyDescent="0.3">
      <c r="A76" s="2">
        <f t="shared" si="35"/>
        <v>62358.355631051723</v>
      </c>
      <c r="B76" s="23">
        <f t="shared" si="45"/>
        <v>9.8500000000000004E-2</v>
      </c>
      <c r="C76" s="2">
        <f t="shared" si="36"/>
        <v>66274.46036468177</v>
      </c>
      <c r="D76" s="2">
        <f t="shared" si="37"/>
        <v>3916.1047336300471</v>
      </c>
      <c r="E76" s="2">
        <f t="shared" si="38"/>
        <v>154.35937919488018</v>
      </c>
      <c r="F76" s="2">
        <f t="shared" si="39"/>
        <v>59</v>
      </c>
      <c r="G76" s="24">
        <f t="shared" si="40"/>
        <v>567.39127461184182</v>
      </c>
      <c r="H76" s="25">
        <f t="shared" si="41"/>
        <v>3135.3540798233253</v>
      </c>
      <c r="I76" s="2">
        <f t="shared" si="42"/>
        <v>652.15364860325178</v>
      </c>
      <c r="J76" s="2">
        <f t="shared" si="43"/>
        <v>2483.2004312200734</v>
      </c>
      <c r="K76" s="2">
        <f t="shared" si="44"/>
        <v>1241.6002156100367</v>
      </c>
      <c r="L76" s="2">
        <f t="shared" si="32"/>
        <v>1241.6002156100367</v>
      </c>
      <c r="M76" s="28"/>
    </row>
    <row r="77" spans="1:13" x14ac:dyDescent="0.3">
      <c r="A77" s="2">
        <f t="shared" si="35"/>
        <v>63599.95584666176</v>
      </c>
      <c r="B77" s="23">
        <f t="shared" si="45"/>
        <v>9.8500000000000004E-2</v>
      </c>
      <c r="C77" s="2">
        <f t="shared" si="36"/>
        <v>67594.033073832121</v>
      </c>
      <c r="D77" s="2">
        <f t="shared" si="37"/>
        <v>3994.0772271703609</v>
      </c>
      <c r="E77" s="2">
        <f t="shared" si="38"/>
        <v>157.43278670459262</v>
      </c>
      <c r="F77" s="2">
        <f t="shared" si="39"/>
        <v>59</v>
      </c>
      <c r="G77" s="24">
        <f t="shared" si="40"/>
        <v>578.68844756908584</v>
      </c>
      <c r="H77" s="25">
        <f t="shared" si="41"/>
        <v>3198.9559928966823</v>
      </c>
      <c r="I77" s="2">
        <f t="shared" si="42"/>
        <v>665.38284652251002</v>
      </c>
      <c r="J77" s="2">
        <f t="shared" si="43"/>
        <v>2533.5731463741722</v>
      </c>
      <c r="K77" s="2">
        <f t="shared" si="44"/>
        <v>1266.7865731870861</v>
      </c>
      <c r="L77" s="2">
        <f t="shared" si="32"/>
        <v>1266.7865731870861</v>
      </c>
      <c r="M77" s="27">
        <f t="shared" ref="M77" si="49">(A77+A78+A79)/3</f>
        <v>64875.308177491002</v>
      </c>
    </row>
    <row r="78" spans="1:13" x14ac:dyDescent="0.3">
      <c r="A78" s="2">
        <f t="shared" si="35"/>
        <v>64866.742419848844</v>
      </c>
      <c r="B78" s="23">
        <f t="shared" si="45"/>
        <v>9.8500000000000004E-2</v>
      </c>
      <c r="C78" s="2">
        <f t="shared" si="36"/>
        <v>68940.373843815352</v>
      </c>
      <c r="D78" s="2">
        <f t="shared" si="37"/>
        <v>4073.631423966508</v>
      </c>
      <c r="E78" s="2">
        <f t="shared" si="38"/>
        <v>160.56853951639704</v>
      </c>
      <c r="F78" s="2">
        <f t="shared" si="39"/>
        <v>59</v>
      </c>
      <c r="G78" s="24">
        <f t="shared" si="40"/>
        <v>590.21478820376205</v>
      </c>
      <c r="H78" s="25">
        <f t="shared" si="41"/>
        <v>3263.8480962463491</v>
      </c>
      <c r="I78" s="2">
        <f t="shared" si="42"/>
        <v>678.8804040192407</v>
      </c>
      <c r="J78" s="2">
        <f t="shared" si="43"/>
        <v>2584.9676922271083</v>
      </c>
      <c r="K78" s="2">
        <f t="shared" si="44"/>
        <v>1292.4838461135541</v>
      </c>
      <c r="L78" s="2">
        <f t="shared" si="32"/>
        <v>1292.4838461135541</v>
      </c>
      <c r="M78" s="28"/>
    </row>
    <row r="79" spans="1:13" x14ac:dyDescent="0.3">
      <c r="A79" s="2">
        <f t="shared" si="35"/>
        <v>66159.226265962396</v>
      </c>
      <c r="B79" s="23">
        <f t="shared" si="45"/>
        <v>9.8500000000000004E-2</v>
      </c>
      <c r="C79" s="2">
        <f t="shared" si="36"/>
        <v>70314.025675464829</v>
      </c>
      <c r="D79" s="2">
        <f t="shared" si="37"/>
        <v>4154.7994095024333</v>
      </c>
      <c r="E79" s="2">
        <f t="shared" si="38"/>
        <v>163.76790232971268</v>
      </c>
      <c r="F79" s="2">
        <f t="shared" si="39"/>
        <v>59</v>
      </c>
      <c r="G79" s="24">
        <f t="shared" si="40"/>
        <v>601.97494527397851</v>
      </c>
      <c r="H79" s="25">
        <f t="shared" si="41"/>
        <v>3330.0565618987421</v>
      </c>
      <c r="I79" s="2">
        <f t="shared" si="42"/>
        <v>692.65176487493841</v>
      </c>
      <c r="J79" s="2">
        <f t="shared" si="43"/>
        <v>2637.4047970238034</v>
      </c>
      <c r="K79" s="2">
        <f t="shared" si="44"/>
        <v>1318.7023985119017</v>
      </c>
      <c r="L79" s="2">
        <f t="shared" si="32"/>
        <v>1318.7023985119017</v>
      </c>
      <c r="M79" s="28"/>
    </row>
    <row r="80" spans="1:13" x14ac:dyDescent="0.3">
      <c r="A80" s="2">
        <f t="shared" si="35"/>
        <v>67477.928664474297</v>
      </c>
      <c r="B80" s="23">
        <f t="shared" si="45"/>
        <v>9.8500000000000004E-2</v>
      </c>
      <c r="C80" s="2">
        <f t="shared" si="36"/>
        <v>71715.542584603274</v>
      </c>
      <c r="D80" s="2">
        <f t="shared" si="37"/>
        <v>4237.613920128977</v>
      </c>
      <c r="E80" s="2">
        <f t="shared" si="38"/>
        <v>167.03216549889308</v>
      </c>
      <c r="F80" s="2">
        <f t="shared" si="39"/>
        <v>59</v>
      </c>
      <c r="G80" s="24">
        <f t="shared" si="40"/>
        <v>613.9736618397626</v>
      </c>
      <c r="H80" s="25">
        <f t="shared" si="41"/>
        <v>3397.6080927903213</v>
      </c>
      <c r="I80" s="2">
        <f t="shared" si="42"/>
        <v>706.70248330038692</v>
      </c>
      <c r="J80" s="2">
        <f t="shared" si="43"/>
        <v>2690.9056094899342</v>
      </c>
      <c r="K80" s="2">
        <f t="shared" si="44"/>
        <v>1345.4528047449671</v>
      </c>
      <c r="L80" s="2">
        <f t="shared" si="32"/>
        <v>1345.4528047449671</v>
      </c>
      <c r="M80" s="27">
        <f t="shared" ref="M80" si="50">(A80+A81+A82)/3</f>
        <v>68832.479152197877</v>
      </c>
    </row>
    <row r="81" spans="1:13" x14ac:dyDescent="0.3">
      <c r="A81" s="2">
        <f t="shared" si="35"/>
        <v>68823.381469219268</v>
      </c>
      <c r="B81" s="23">
        <f t="shared" si="45"/>
        <v>9.8500000000000004E-2</v>
      </c>
      <c r="C81" s="2">
        <f t="shared" si="36"/>
        <v>73145.489825486235</v>
      </c>
      <c r="D81" s="2">
        <f t="shared" si="37"/>
        <v>4322.1083562669664</v>
      </c>
      <c r="E81" s="2">
        <f t="shared" si="38"/>
        <v>170.36264555364656</v>
      </c>
      <c r="F81" s="2">
        <f t="shared" si="39"/>
        <v>59</v>
      </c>
      <c r="G81" s="24">
        <f t="shared" si="40"/>
        <v>626.21577717601417</v>
      </c>
      <c r="H81" s="25">
        <f t="shared" si="41"/>
        <v>3466.5299335373056</v>
      </c>
      <c r="I81" s="2">
        <f t="shared" si="42"/>
        <v>721.03822617575963</v>
      </c>
      <c r="J81" s="2">
        <f t="shared" si="43"/>
        <v>2745.4917073615461</v>
      </c>
      <c r="K81" s="2">
        <f t="shared" si="44"/>
        <v>1372.7458536807731</v>
      </c>
      <c r="L81" s="2">
        <f t="shared" si="32"/>
        <v>1372.7458536807731</v>
      </c>
      <c r="M81" s="28"/>
    </row>
    <row r="82" spans="1:13" x14ac:dyDescent="0.3">
      <c r="A82" s="2">
        <f t="shared" si="35"/>
        <v>70196.127322900036</v>
      </c>
      <c r="B82" s="23">
        <f t="shared" si="45"/>
        <v>9.8500000000000004E-2</v>
      </c>
      <c r="C82" s="2">
        <f t="shared" si="36"/>
        <v>74604.444118778163</v>
      </c>
      <c r="D82" s="2">
        <f t="shared" si="37"/>
        <v>4408.3167958781269</v>
      </c>
      <c r="E82" s="2">
        <f t="shared" si="38"/>
        <v>173.76068573001385</v>
      </c>
      <c r="F82" s="2">
        <f t="shared" si="39"/>
        <v>59</v>
      </c>
      <c r="G82" s="24">
        <f t="shared" si="40"/>
        <v>638.70622872426202</v>
      </c>
      <c r="H82" s="25">
        <f t="shared" si="41"/>
        <v>3536.8498814238505</v>
      </c>
      <c r="I82" s="2">
        <f t="shared" si="42"/>
        <v>735.66477533616091</v>
      </c>
      <c r="J82" s="2">
        <f t="shared" si="43"/>
        <v>2801.1851060876897</v>
      </c>
      <c r="K82" s="2">
        <f t="shared" si="44"/>
        <v>1400.5925530438449</v>
      </c>
      <c r="L82" s="2">
        <f t="shared" si="32"/>
        <v>1400.5925530438449</v>
      </c>
      <c r="M82" s="28"/>
    </row>
    <row r="83" spans="1:13" x14ac:dyDescent="0.3">
      <c r="A83" s="2">
        <f t="shared" si="35"/>
        <v>71596.719875943876</v>
      </c>
      <c r="B83" s="23">
        <f t="shared" si="45"/>
        <v>9.8500000000000004E-2</v>
      </c>
      <c r="C83" s="2">
        <f t="shared" si="36"/>
        <v>76092.993884153155</v>
      </c>
      <c r="D83" s="2">
        <f t="shared" si="37"/>
        <v>4496.2740082092787</v>
      </c>
      <c r="E83" s="2">
        <f t="shared" si="38"/>
        <v>177.22765651211643</v>
      </c>
      <c r="F83" s="2">
        <f t="shared" si="39"/>
        <v>59</v>
      </c>
      <c r="G83" s="24">
        <f t="shared" si="40"/>
        <v>651.45005408401335</v>
      </c>
      <c r="H83" s="25">
        <f t="shared" si="41"/>
        <v>3608.5962976131486</v>
      </c>
      <c r="I83" s="2">
        <f t="shared" si="42"/>
        <v>750.5880299035349</v>
      </c>
      <c r="J83" s="2">
        <f t="shared" si="43"/>
        <v>2858.0082677096138</v>
      </c>
      <c r="K83" s="2">
        <f t="shared" si="44"/>
        <v>1429.0041338548069</v>
      </c>
      <c r="L83" s="2">
        <f t="shared" si="32"/>
        <v>1429.0041338548069</v>
      </c>
      <c r="M83" s="27">
        <f t="shared" ref="M83" si="51">(A83+A84+A85)/3</f>
        <v>73035.3866501671</v>
      </c>
    </row>
    <row r="84" spans="1:13" x14ac:dyDescent="0.3">
      <c r="A84" s="2">
        <f t="shared" si="35"/>
        <v>73025.72400979868</v>
      </c>
      <c r="B84" s="23">
        <f t="shared" si="45"/>
        <v>9.8500000000000004E-2</v>
      </c>
      <c r="C84" s="2">
        <f t="shared" si="36"/>
        <v>77611.739477614028</v>
      </c>
      <c r="D84" s="2">
        <f t="shared" si="37"/>
        <v>4586.0154678153485</v>
      </c>
      <c r="E84" s="2">
        <f t="shared" si="38"/>
        <v>180.76495618489525</v>
      </c>
      <c r="F84" s="2">
        <f t="shared" si="39"/>
        <v>59</v>
      </c>
      <c r="G84" s="24">
        <f t="shared" si="40"/>
        <v>664.45239304449944</v>
      </c>
      <c r="H84" s="25">
        <f t="shared" si="41"/>
        <v>3681.7981185859535</v>
      </c>
      <c r="I84" s="2">
        <f t="shared" si="42"/>
        <v>765.81400866587842</v>
      </c>
      <c r="J84" s="2">
        <f t="shared" si="43"/>
        <v>2915.9841099200748</v>
      </c>
      <c r="K84" s="2">
        <f t="shared" si="44"/>
        <v>1457.9920549600374</v>
      </c>
      <c r="L84" s="2">
        <f t="shared" si="32"/>
        <v>1457.9920549600374</v>
      </c>
      <c r="M84" s="28"/>
    </row>
    <row r="85" spans="1:13" x14ac:dyDescent="0.3">
      <c r="A85" s="2">
        <f t="shared" si="35"/>
        <v>74483.716064758715</v>
      </c>
      <c r="B85" s="23">
        <f t="shared" si="45"/>
        <v>9.8500000000000004E-2</v>
      </c>
      <c r="C85" s="2">
        <f t="shared" si="36"/>
        <v>79161.293433625557</v>
      </c>
      <c r="D85" s="2">
        <f t="shared" si="37"/>
        <v>4677.5773688668414</v>
      </c>
      <c r="E85" s="2">
        <f t="shared" si="38"/>
        <v>184.3740113980611</v>
      </c>
      <c r="F85" s="2">
        <f t="shared" si="39"/>
        <v>59</v>
      </c>
      <c r="G85" s="24">
        <f t="shared" si="40"/>
        <v>677.71848965763377</v>
      </c>
      <c r="H85" s="25">
        <f t="shared" si="41"/>
        <v>3756.4848678111466</v>
      </c>
      <c r="I85" s="2">
        <f t="shared" si="42"/>
        <v>781.34885250471859</v>
      </c>
      <c r="J85" s="2">
        <f t="shared" si="43"/>
        <v>2975.1360153064279</v>
      </c>
      <c r="K85" s="2">
        <f t="shared" si="44"/>
        <v>1487.568007653214</v>
      </c>
      <c r="L85" s="2">
        <f t="shared" si="32"/>
        <v>1487.568007653214</v>
      </c>
      <c r="M85" s="28"/>
    </row>
    <row r="86" spans="1:13" x14ac:dyDescent="0.3">
      <c r="A86" s="2">
        <f t="shared" si="35"/>
        <v>75971.284072411931</v>
      </c>
      <c r="B86" s="23">
        <f t="shared" si="45"/>
        <v>9.8500000000000004E-2</v>
      </c>
      <c r="C86" s="2">
        <f t="shared" si="36"/>
        <v>80742.280712159394</v>
      </c>
      <c r="D86" s="2">
        <f t="shared" si="37"/>
        <v>4770.9966397474636</v>
      </c>
      <c r="E86" s="2">
        <f t="shared" si="38"/>
        <v>188.05627774148559</v>
      </c>
      <c r="F86" s="2">
        <f t="shared" si="39"/>
        <v>59</v>
      </c>
      <c r="G86" s="24">
        <f t="shared" si="40"/>
        <v>691.25369435302287</v>
      </c>
      <c r="H86" s="25">
        <f t="shared" si="41"/>
        <v>3832.6866676529553</v>
      </c>
      <c r="I86" s="2">
        <f t="shared" si="42"/>
        <v>797.19882687181484</v>
      </c>
      <c r="J86" s="2">
        <f t="shared" si="43"/>
        <v>3035.4878407811402</v>
      </c>
      <c r="K86" s="2">
        <f t="shared" si="44"/>
        <v>1517.7439203905701</v>
      </c>
      <c r="L86" s="2">
        <f t="shared" si="32"/>
        <v>1517.7439203905701</v>
      </c>
      <c r="M86" s="27">
        <f t="shared" ref="M86" si="52">(A86+A87+A88)/3</f>
        <v>77499.290673872936</v>
      </c>
    </row>
    <row r="87" spans="1:13" x14ac:dyDescent="0.3">
      <c r="A87" s="2">
        <f t="shared" si="35"/>
        <v>77489.027992802497</v>
      </c>
      <c r="B87" s="23">
        <f t="shared" si="45"/>
        <v>9.8500000000000004E-2</v>
      </c>
      <c r="C87" s="2">
        <f t="shared" si="36"/>
        <v>82355.338950750491</v>
      </c>
      <c r="D87" s="2">
        <f t="shared" si="37"/>
        <v>4866.3109579479933</v>
      </c>
      <c r="E87" s="2">
        <f t="shared" si="38"/>
        <v>191.81324033226355</v>
      </c>
      <c r="F87" s="2">
        <f t="shared" si="39"/>
        <v>59</v>
      </c>
      <c r="G87" s="24">
        <f t="shared" si="40"/>
        <v>705.06346609588059</v>
      </c>
      <c r="H87" s="25">
        <f t="shared" si="41"/>
        <v>3910.4342515198496</v>
      </c>
      <c r="I87" s="2">
        <f t="shared" si="42"/>
        <v>813.37032431612886</v>
      </c>
      <c r="J87" s="2">
        <f t="shared" si="43"/>
        <v>3097.0639272037206</v>
      </c>
      <c r="K87" s="2">
        <f t="shared" si="44"/>
        <v>1548.5319636018603</v>
      </c>
      <c r="L87" s="2">
        <f t="shared" ref="L87:L150" si="53">J87-K87</f>
        <v>1548.5319636018603</v>
      </c>
      <c r="M87" s="28"/>
    </row>
    <row r="88" spans="1:13" x14ac:dyDescent="0.3">
      <c r="A88" s="2">
        <f t="shared" si="35"/>
        <v>79037.559956404351</v>
      </c>
      <c r="B88" s="23">
        <f t="shared" si="45"/>
        <v>9.8500000000000004E-2</v>
      </c>
      <c r="C88" s="2">
        <f t="shared" si="36"/>
        <v>84001.118721666542</v>
      </c>
      <c r="D88" s="2">
        <f t="shared" si="37"/>
        <v>4963.5587652621907</v>
      </c>
      <c r="E88" s="2">
        <f t="shared" si="38"/>
        <v>195.64641441368505</v>
      </c>
      <c r="F88" s="2">
        <f t="shared" si="39"/>
        <v>59</v>
      </c>
      <c r="G88" s="24">
        <f t="shared" si="40"/>
        <v>719.15337458871647</v>
      </c>
      <c r="H88" s="25">
        <f t="shared" si="41"/>
        <v>3989.7589762597891</v>
      </c>
      <c r="I88" s="2">
        <f t="shared" si="42"/>
        <v>829.86986706203618</v>
      </c>
      <c r="J88" s="2">
        <f t="shared" si="43"/>
        <v>3159.889109197753</v>
      </c>
      <c r="K88" s="2">
        <f t="shared" si="44"/>
        <v>1579.9445545988765</v>
      </c>
      <c r="L88" s="2">
        <f t="shared" si="53"/>
        <v>1579.9445545988765</v>
      </c>
      <c r="M88" s="28"/>
    </row>
    <row r="89" spans="1:13" x14ac:dyDescent="0.3">
      <c r="A89" s="2">
        <f t="shared" si="35"/>
        <v>80617.504511003222</v>
      </c>
      <c r="B89" s="23">
        <f t="shared" si="45"/>
        <v>9.8500000000000004E-2</v>
      </c>
      <c r="C89" s="2">
        <f t="shared" si="36"/>
        <v>85680.283794294228</v>
      </c>
      <c r="D89" s="2">
        <f t="shared" si="37"/>
        <v>5062.7792832910054</v>
      </c>
      <c r="E89" s="2">
        <f t="shared" si="38"/>
        <v>199.55734596635691</v>
      </c>
      <c r="F89" s="2">
        <f t="shared" si="39"/>
        <v>59</v>
      </c>
      <c r="G89" s="24">
        <f t="shared" si="40"/>
        <v>733.52910251768549</v>
      </c>
      <c r="H89" s="25">
        <f t="shared" si="41"/>
        <v>4070.6928348069632</v>
      </c>
      <c r="I89" s="2">
        <f t="shared" si="42"/>
        <v>846.70410963984841</v>
      </c>
      <c r="J89" s="2">
        <f t="shared" si="43"/>
        <v>3223.9887251671148</v>
      </c>
      <c r="K89" s="2">
        <f t="shared" si="44"/>
        <v>1611.9943625835574</v>
      </c>
      <c r="L89" s="2">
        <f t="shared" si="53"/>
        <v>1611.9943625835574</v>
      </c>
      <c r="M89" s="27">
        <f t="shared" ref="M89" si="54">(A89+A90+A91)/3</f>
        <v>82240.398857311477</v>
      </c>
    </row>
    <row r="90" spans="1:13" x14ac:dyDescent="0.3">
      <c r="A90" s="2">
        <f t="shared" si="35"/>
        <v>82229.498873586781</v>
      </c>
      <c r="B90" s="23">
        <f t="shared" si="45"/>
        <v>9.8500000000000004E-2</v>
      </c>
      <c r="C90" s="2">
        <f t="shared" si="36"/>
        <v>87393.511402848031</v>
      </c>
      <c r="D90" s="2">
        <f t="shared" si="37"/>
        <v>5164.0125292612502</v>
      </c>
      <c r="E90" s="2">
        <f t="shared" si="38"/>
        <v>203.54761233172178</v>
      </c>
      <c r="F90" s="2">
        <f t="shared" si="39"/>
        <v>59</v>
      </c>
      <c r="G90" s="24">
        <f t="shared" si="40"/>
        <v>748.19644784450713</v>
      </c>
      <c r="H90" s="25">
        <f t="shared" si="41"/>
        <v>4153.268469085021</v>
      </c>
      <c r="I90" s="2">
        <f t="shared" si="42"/>
        <v>863.87984156968446</v>
      </c>
      <c r="J90" s="2">
        <f t="shared" si="43"/>
        <v>3289.3886275153363</v>
      </c>
      <c r="K90" s="2">
        <f t="shared" si="44"/>
        <v>1644.6943137576682</v>
      </c>
      <c r="L90" s="2">
        <f t="shared" si="53"/>
        <v>1644.6943137576682</v>
      </c>
      <c r="M90" s="28"/>
    </row>
    <row r="91" spans="1:13" x14ac:dyDescent="0.3">
      <c r="A91" s="2">
        <f t="shared" si="35"/>
        <v>83874.193187344456</v>
      </c>
      <c r="B91" s="23">
        <f t="shared" si="45"/>
        <v>9.8500000000000004E-2</v>
      </c>
      <c r="C91" s="2">
        <f t="shared" si="36"/>
        <v>89141.492519509688</v>
      </c>
      <c r="D91" s="2">
        <f t="shared" si="37"/>
        <v>5267.299332165232</v>
      </c>
      <c r="E91" s="2">
        <f t="shared" si="38"/>
        <v>207.61882284822497</v>
      </c>
      <c r="F91" s="2">
        <f t="shared" si="39"/>
        <v>59</v>
      </c>
      <c r="G91" s="24">
        <f t="shared" si="40"/>
        <v>763.16132614487606</v>
      </c>
      <c r="H91" s="25">
        <f t="shared" si="41"/>
        <v>4237.5191831721313</v>
      </c>
      <c r="I91" s="2">
        <f t="shared" si="42"/>
        <v>881.40399009980342</v>
      </c>
      <c r="J91" s="2">
        <f t="shared" si="43"/>
        <v>3356.1151930723281</v>
      </c>
      <c r="K91" s="2">
        <f t="shared" si="44"/>
        <v>1678.0575965361641</v>
      </c>
      <c r="L91" s="2">
        <f t="shared" si="53"/>
        <v>1678.0575965361641</v>
      </c>
      <c r="M91" s="28"/>
    </row>
    <row r="92" spans="1:13" x14ac:dyDescent="0.3">
      <c r="A92" s="2">
        <f t="shared" si="35"/>
        <v>85552.25078388062</v>
      </c>
      <c r="B92" s="23">
        <f t="shared" si="45"/>
        <v>9.8500000000000004E-2</v>
      </c>
      <c r="C92" s="2">
        <f t="shared" si="36"/>
        <v>90924.932133108319</v>
      </c>
      <c r="D92" s="2">
        <f t="shared" si="37"/>
        <v>5372.6813492276997</v>
      </c>
      <c r="E92" s="2">
        <f t="shared" si="38"/>
        <v>211.7726195003867</v>
      </c>
      <c r="F92" s="2">
        <f t="shared" si="39"/>
        <v>59</v>
      </c>
      <c r="G92" s="24">
        <f t="shared" si="40"/>
        <v>778.42977299430879</v>
      </c>
      <c r="H92" s="25">
        <f t="shared" si="41"/>
        <v>4323.4789567330035</v>
      </c>
      <c r="I92" s="2">
        <f t="shared" si="42"/>
        <v>899.2836230004649</v>
      </c>
      <c r="J92" s="2">
        <f t="shared" si="43"/>
        <v>3424.1953337325385</v>
      </c>
      <c r="K92" s="2">
        <f t="shared" si="44"/>
        <v>1712.0976668662693</v>
      </c>
      <c r="L92" s="2">
        <f t="shared" si="53"/>
        <v>1712.0976668662693</v>
      </c>
      <c r="M92" s="27">
        <f t="shared" ref="M92" si="55">(A92+A93+A94)/3</f>
        <v>87275.925313009633</v>
      </c>
    </row>
    <row r="93" spans="1:13" x14ac:dyDescent="0.3">
      <c r="A93" s="2">
        <f t="shared" si="35"/>
        <v>87264.348450746882</v>
      </c>
      <c r="B93" s="23">
        <f t="shared" si="45"/>
        <v>9.8500000000000004E-2</v>
      </c>
      <c r="C93" s="2">
        <f t="shared" si="36"/>
        <v>92744.549533453785</v>
      </c>
      <c r="D93" s="2">
        <f t="shared" si="37"/>
        <v>5480.2010827069025</v>
      </c>
      <c r="E93" s="2">
        <f t="shared" si="38"/>
        <v>216.0106775810408</v>
      </c>
      <c r="F93" s="2">
        <f t="shared" si="39"/>
        <v>59</v>
      </c>
      <c r="G93" s="24">
        <f t="shared" si="40"/>
        <v>794.00794640238837</v>
      </c>
      <c r="H93" s="25">
        <f t="shared" si="41"/>
        <v>4411.1824587234732</v>
      </c>
      <c r="I93" s="2">
        <f t="shared" si="42"/>
        <v>917.52595141448251</v>
      </c>
      <c r="J93" s="2">
        <f t="shared" si="43"/>
        <v>3493.6565073089905</v>
      </c>
      <c r="K93" s="2">
        <f t="shared" si="44"/>
        <v>1746.8282536544953</v>
      </c>
      <c r="L93" s="2">
        <f t="shared" si="53"/>
        <v>1746.8282536544953</v>
      </c>
      <c r="M93" s="28"/>
    </row>
    <row r="94" spans="1:13" x14ac:dyDescent="0.3">
      <c r="A94" s="2">
        <f t="shared" si="35"/>
        <v>89011.176704401383</v>
      </c>
      <c r="B94" s="23">
        <f t="shared" si="45"/>
        <v>9.8500000000000004E-2</v>
      </c>
      <c r="C94" s="2">
        <f t="shared" si="36"/>
        <v>94601.078601437781</v>
      </c>
      <c r="D94" s="2">
        <f t="shared" si="37"/>
        <v>5589.9018970363977</v>
      </c>
      <c r="E94" s="2">
        <f t="shared" si="38"/>
        <v>220.33470636700699</v>
      </c>
      <c r="F94" s="2">
        <f t="shared" si="39"/>
        <v>59</v>
      </c>
      <c r="G94" s="24">
        <f t="shared" si="40"/>
        <v>809.90212929638778</v>
      </c>
      <c r="H94" s="25">
        <f t="shared" si="41"/>
        <v>4500.6650613730026</v>
      </c>
      <c r="I94" s="2">
        <f t="shared" si="42"/>
        <v>936.13833276558466</v>
      </c>
      <c r="J94" s="2">
        <f t="shared" si="43"/>
        <v>3564.5267286074177</v>
      </c>
      <c r="K94" s="2">
        <f t="shared" si="44"/>
        <v>1782.2633643037088</v>
      </c>
      <c r="L94" s="2">
        <f t="shared" si="53"/>
        <v>1782.2633643037088</v>
      </c>
      <c r="M94" s="28"/>
    </row>
    <row r="95" spans="1:13" x14ac:dyDescent="0.3">
      <c r="A95" s="2">
        <f t="shared" si="35"/>
        <v>90793.440068705095</v>
      </c>
      <c r="B95" s="23">
        <f t="shared" si="45"/>
        <v>9.8500000000000004E-2</v>
      </c>
      <c r="C95" s="2">
        <f t="shared" si="36"/>
        <v>96495.268105019772</v>
      </c>
      <c r="D95" s="2">
        <f t="shared" si="37"/>
        <v>5701.8280363146769</v>
      </c>
      <c r="E95" s="2">
        <f t="shared" si="38"/>
        <v>224.74644980846983</v>
      </c>
      <c r="F95" s="2">
        <f t="shared" si="39"/>
        <v>59</v>
      </c>
      <c r="G95" s="24">
        <f t="shared" si="40"/>
        <v>826.1187320552765</v>
      </c>
      <c r="H95" s="25">
        <f t="shared" si="41"/>
        <v>4591.9628544509305</v>
      </c>
      <c r="I95" s="2">
        <f t="shared" si="42"/>
        <v>955.12827372579363</v>
      </c>
      <c r="J95" s="2">
        <f t="shared" si="43"/>
        <v>3636.8345807251371</v>
      </c>
      <c r="K95" s="2">
        <f t="shared" si="44"/>
        <v>1818.4172903625686</v>
      </c>
      <c r="L95" s="2">
        <f t="shared" si="53"/>
        <v>1818.4172903625686</v>
      </c>
      <c r="M95" s="27">
        <f t="shared" ref="M95" si="56">(A95+A96+A97)/3</f>
        <v>92624.153133376662</v>
      </c>
    </row>
    <row r="96" spans="1:13" x14ac:dyDescent="0.3">
      <c r="A96" s="2">
        <f t="shared" si="35"/>
        <v>92611.857359067668</v>
      </c>
      <c r="B96" s="23">
        <f t="shared" si="45"/>
        <v>9.8500000000000004E-2</v>
      </c>
      <c r="C96" s="2">
        <f t="shared" si="36"/>
        <v>98427.88200121712</v>
      </c>
      <c r="D96" s="2">
        <f t="shared" si="37"/>
        <v>5816.0246421494521</v>
      </c>
      <c r="E96" s="2">
        <f t="shared" si="38"/>
        <v>229.24768723234172</v>
      </c>
      <c r="F96" s="2">
        <f t="shared" si="39"/>
        <v>59</v>
      </c>
      <c r="G96" s="24">
        <f t="shared" si="40"/>
        <v>842.66429509512784</v>
      </c>
      <c r="H96" s="25">
        <f t="shared" si="41"/>
        <v>4685.1126598219826</v>
      </c>
      <c r="I96" s="2">
        <f t="shared" si="42"/>
        <v>974.50343324297239</v>
      </c>
      <c r="J96" s="2">
        <f t="shared" si="43"/>
        <v>3710.6092265790103</v>
      </c>
      <c r="K96" s="2">
        <f t="shared" si="44"/>
        <v>1855.3046132895051</v>
      </c>
      <c r="L96" s="2">
        <f t="shared" si="53"/>
        <v>1855.3046132895051</v>
      </c>
      <c r="M96" s="28"/>
    </row>
    <row r="97" spans="1:13" x14ac:dyDescent="0.3">
      <c r="A97" s="2">
        <f t="shared" si="35"/>
        <v>94467.161972357178</v>
      </c>
      <c r="B97" s="23">
        <f t="shared" si="45"/>
        <v>9.8500000000000004E-2</v>
      </c>
      <c r="C97" s="2">
        <f t="shared" si="36"/>
        <v>100399.6997442212</v>
      </c>
      <c r="D97" s="2">
        <f t="shared" si="37"/>
        <v>5932.5377718640229</v>
      </c>
      <c r="E97" s="2">
        <f t="shared" si="38"/>
        <v>233.84023405989402</v>
      </c>
      <c r="F97" s="2">
        <f t="shared" si="39"/>
        <v>59</v>
      </c>
      <c r="G97" s="24">
        <f t="shared" si="40"/>
        <v>859.54549150697437</v>
      </c>
      <c r="H97" s="25">
        <f t="shared" si="41"/>
        <v>4780.1520462971548</v>
      </c>
      <c r="I97" s="2">
        <f t="shared" si="42"/>
        <v>994.27162562980834</v>
      </c>
      <c r="J97" s="2">
        <f t="shared" si="43"/>
        <v>3785.8804206673467</v>
      </c>
      <c r="K97" s="2">
        <f t="shared" si="44"/>
        <v>1892.9402103336733</v>
      </c>
      <c r="L97" s="2">
        <f t="shared" si="53"/>
        <v>1892.9402103336733</v>
      </c>
      <c r="M97" s="28"/>
    </row>
    <row r="98" spans="1:13" x14ac:dyDescent="0.3">
      <c r="A98" s="2">
        <f t="shared" si="35"/>
        <v>96360.102182690855</v>
      </c>
      <c r="B98" s="23">
        <f t="shared" si="45"/>
        <v>9.8500000000000004E-2</v>
      </c>
      <c r="C98" s="2">
        <f t="shared" si="36"/>
        <v>102411.51659976384</v>
      </c>
      <c r="D98" s="2">
        <f t="shared" si="37"/>
        <v>6051.4144170729851</v>
      </c>
      <c r="E98" s="2">
        <f t="shared" si="38"/>
        <v>238.5259425389456</v>
      </c>
      <c r="F98" s="2">
        <f t="shared" si="39"/>
        <v>59</v>
      </c>
      <c r="G98" s="24">
        <f t="shared" si="40"/>
        <v>876.76912974817287</v>
      </c>
      <c r="H98" s="25">
        <f t="shared" si="41"/>
        <v>4877.1193447858659</v>
      </c>
      <c r="I98" s="2">
        <f t="shared" si="42"/>
        <v>1014.4408237154602</v>
      </c>
      <c r="J98" s="2">
        <f t="shared" si="43"/>
        <v>3862.6785210704056</v>
      </c>
      <c r="K98" s="2">
        <f t="shared" si="44"/>
        <v>1931.3392605352028</v>
      </c>
      <c r="L98" s="2">
        <f t="shared" si="53"/>
        <v>1931.3392605352028</v>
      </c>
      <c r="M98" s="27">
        <f t="shared" ref="M98" si="57">(A98+A99+A100)/3</f>
        <v>98304.50077333003</v>
      </c>
    </row>
    <row r="99" spans="1:13" x14ac:dyDescent="0.3">
      <c r="A99" s="2">
        <f t="shared" si="35"/>
        <v>98291.441443226053</v>
      </c>
      <c r="B99" s="23">
        <f t="shared" si="45"/>
        <v>9.8500000000000004E-2</v>
      </c>
      <c r="C99" s="2">
        <f t="shared" si="36"/>
        <v>104464.14396586064</v>
      </c>
      <c r="D99" s="2">
        <f t="shared" si="37"/>
        <v>6172.7025226345868</v>
      </c>
      <c r="E99" s="2">
        <f t="shared" si="38"/>
        <v>243.306702490904</v>
      </c>
      <c r="F99" s="2">
        <f t="shared" si="39"/>
        <v>59</v>
      </c>
      <c r="G99" s="24">
        <f t="shared" si="40"/>
        <v>894.34215638836349</v>
      </c>
      <c r="H99" s="25">
        <f t="shared" si="41"/>
        <v>4976.0536637553196</v>
      </c>
      <c r="I99" s="2">
        <f t="shared" si="42"/>
        <v>1035.0191620611065</v>
      </c>
      <c r="J99" s="2">
        <f t="shared" si="43"/>
        <v>3941.0345016942128</v>
      </c>
      <c r="K99" s="2">
        <f t="shared" si="44"/>
        <v>1970.5172508471064</v>
      </c>
      <c r="L99" s="2">
        <f t="shared" si="53"/>
        <v>1970.5172508471064</v>
      </c>
      <c r="M99" s="28"/>
    </row>
    <row r="100" spans="1:13" x14ac:dyDescent="0.3">
      <c r="A100" s="2">
        <f t="shared" si="35"/>
        <v>100261.95869407315</v>
      </c>
      <c r="B100" s="23">
        <f t="shared" si="45"/>
        <v>9.8500000000000004E-2</v>
      </c>
      <c r="C100" s="2">
        <f t="shared" si="36"/>
        <v>106558.40970006095</v>
      </c>
      <c r="D100" s="2">
        <f t="shared" si="37"/>
        <v>6296.4510059877939</v>
      </c>
      <c r="E100" s="2">
        <f t="shared" si="38"/>
        <v>248.18444207296091</v>
      </c>
      <c r="F100" s="2">
        <f t="shared" si="39"/>
        <v>59</v>
      </c>
      <c r="G100" s="24">
        <f t="shared" si="40"/>
        <v>912.27165891113395</v>
      </c>
      <c r="H100" s="25">
        <f t="shared" si="41"/>
        <v>5076.9949050036985</v>
      </c>
      <c r="I100" s="2">
        <f t="shared" si="42"/>
        <v>1056.0149402407694</v>
      </c>
      <c r="J100" s="2">
        <f t="shared" si="43"/>
        <v>4020.9799647629288</v>
      </c>
      <c r="K100" s="2">
        <f t="shared" si="44"/>
        <v>2010.4899823814644</v>
      </c>
      <c r="L100" s="2">
        <f t="shared" si="53"/>
        <v>2010.4899823814644</v>
      </c>
      <c r="M100" s="28"/>
    </row>
    <row r="101" spans="1:13" x14ac:dyDescent="0.3">
      <c r="A101" s="2">
        <f t="shared" si="35"/>
        <v>102272.44867645462</v>
      </c>
      <c r="B101" s="23">
        <f t="shared" si="45"/>
        <v>9.8500000000000004E-2</v>
      </c>
      <c r="C101" s="2">
        <f t="shared" si="36"/>
        <v>108695.15845333596</v>
      </c>
      <c r="D101" s="2">
        <f t="shared" si="37"/>
        <v>6422.7097768813401</v>
      </c>
      <c r="E101" s="2">
        <f t="shared" si="38"/>
        <v>253.16112855574869</v>
      </c>
      <c r="F101" s="2">
        <f t="shared" si="39"/>
        <v>59</v>
      </c>
      <c r="G101" s="24">
        <f t="shared" si="40"/>
        <v>930.56486857251434</v>
      </c>
      <c r="H101" s="25">
        <f t="shared" si="41"/>
        <v>5179.9837797530772</v>
      </c>
      <c r="I101" s="2">
        <f t="shared" si="42"/>
        <v>1077.4366261886403</v>
      </c>
      <c r="J101" s="2">
        <f t="shared" si="43"/>
        <v>4102.5471535644374</v>
      </c>
      <c r="K101" s="2">
        <f t="shared" si="44"/>
        <v>2051.2735767822187</v>
      </c>
      <c r="L101" s="2">
        <f t="shared" si="53"/>
        <v>2051.2735767822187</v>
      </c>
      <c r="M101" s="27">
        <f t="shared" ref="M101" si="58">(A101+A102+A103)/3</f>
        <v>104337.59255521855</v>
      </c>
    </row>
    <row r="102" spans="1:13" x14ac:dyDescent="0.3">
      <c r="A102" s="2">
        <f t="shared" si="35"/>
        <v>104323.72225323683</v>
      </c>
      <c r="B102" s="23">
        <f t="shared" si="45"/>
        <v>9.8500000000000004E-2</v>
      </c>
      <c r="C102" s="2">
        <f t="shared" si="36"/>
        <v>110875.25201074011</v>
      </c>
      <c r="D102" s="2">
        <f t="shared" si="37"/>
        <v>6551.5297575032746</v>
      </c>
      <c r="E102" s="2">
        <f t="shared" si="38"/>
        <v>258.23876911677229</v>
      </c>
      <c r="F102" s="2">
        <f t="shared" si="39"/>
        <v>59</v>
      </c>
      <c r="G102" s="24">
        <f t="shared" si="40"/>
        <v>949.22916331745955</v>
      </c>
      <c r="H102" s="25">
        <f t="shared" si="41"/>
        <v>5285.0618250690422</v>
      </c>
      <c r="I102" s="2">
        <f t="shared" si="42"/>
        <v>1099.2928596143609</v>
      </c>
      <c r="J102" s="2">
        <f t="shared" si="43"/>
        <v>4185.7689654546812</v>
      </c>
      <c r="K102" s="2">
        <f t="shared" si="44"/>
        <v>2092.8844827273406</v>
      </c>
      <c r="L102" s="2">
        <f t="shared" si="53"/>
        <v>2092.8844827273406</v>
      </c>
      <c r="M102" s="28"/>
    </row>
    <row r="103" spans="1:13" x14ac:dyDescent="0.3">
      <c r="A103" s="2">
        <f t="shared" si="35"/>
        <v>106416.60673596417</v>
      </c>
      <c r="B103" s="23">
        <f t="shared" si="45"/>
        <v>9.8500000000000004E-2</v>
      </c>
      <c r="C103" s="2">
        <f t="shared" si="36"/>
        <v>113099.56963898272</v>
      </c>
      <c r="D103" s="2">
        <f t="shared" si="37"/>
        <v>6682.9629030185461</v>
      </c>
      <c r="E103" s="2">
        <f t="shared" si="38"/>
        <v>263.41941164993625</v>
      </c>
      <c r="F103" s="2">
        <f t="shared" si="39"/>
        <v>59</v>
      </c>
      <c r="G103" s="24">
        <f t="shared" si="40"/>
        <v>968.27207075549177</v>
      </c>
      <c r="H103" s="25">
        <f t="shared" si="41"/>
        <v>5392.2714206131177</v>
      </c>
      <c r="I103" s="2">
        <f t="shared" si="42"/>
        <v>1121.5924554875287</v>
      </c>
      <c r="J103" s="2">
        <f t="shared" si="43"/>
        <v>4270.6789651255895</v>
      </c>
      <c r="K103" s="2">
        <f t="shared" si="44"/>
        <v>2135.3394825627947</v>
      </c>
      <c r="L103" s="2">
        <f t="shared" si="53"/>
        <v>2135.3394825627947</v>
      </c>
      <c r="M103" s="28"/>
    </row>
    <row r="104" spans="1:13" x14ac:dyDescent="0.3">
      <c r="A104" s="2">
        <f t="shared" si="35"/>
        <v>108551.94621852697</v>
      </c>
      <c r="B104" s="23">
        <f t="shared" si="45"/>
        <v>9.8500000000000004E-2</v>
      </c>
      <c r="C104" s="2">
        <f t="shared" si="36"/>
        <v>115369.00844105045</v>
      </c>
      <c r="D104" s="2">
        <f t="shared" si="37"/>
        <v>6817.0622225234838</v>
      </c>
      <c r="E104" s="2">
        <f t="shared" si="38"/>
        <v>268.70514559149285</v>
      </c>
      <c r="F104" s="2">
        <f t="shared" si="39"/>
        <v>59</v>
      </c>
      <c r="G104" s="24">
        <f t="shared" si="40"/>
        <v>987.70127119670701</v>
      </c>
      <c r="H104" s="25">
        <f t="shared" si="41"/>
        <v>5501.655805735284</v>
      </c>
      <c r="I104" s="2">
        <f t="shared" si="42"/>
        <v>1144.3444075929392</v>
      </c>
      <c r="J104" s="2">
        <f t="shared" si="43"/>
        <v>4357.3113981423448</v>
      </c>
      <c r="K104" s="2">
        <f t="shared" si="44"/>
        <v>2178.6556990711724</v>
      </c>
      <c r="L104" s="2">
        <f t="shared" si="53"/>
        <v>2178.6556990711724</v>
      </c>
      <c r="M104" s="27">
        <f t="shared" ref="M104" si="59">(A104+A105+A106)/3</f>
        <v>110745.3335520336</v>
      </c>
    </row>
    <row r="105" spans="1:13" x14ac:dyDescent="0.3">
      <c r="A105" s="2">
        <f t="shared" si="35"/>
        <v>110730.60191759813</v>
      </c>
      <c r="B105" s="23">
        <f t="shared" si="45"/>
        <v>9.8500000000000004E-2</v>
      </c>
      <c r="C105" s="2">
        <f t="shared" si="36"/>
        <v>117684.4837180233</v>
      </c>
      <c r="D105" s="2">
        <f t="shared" si="37"/>
        <v>6953.8818004251661</v>
      </c>
      <c r="E105" s="2">
        <f t="shared" si="38"/>
        <v>274.09810276274573</v>
      </c>
      <c r="F105" s="2">
        <f t="shared" si="39"/>
        <v>59</v>
      </c>
      <c r="G105" s="24">
        <f t="shared" si="40"/>
        <v>1007.5246007493677</v>
      </c>
      <c r="H105" s="25">
        <f t="shared" si="41"/>
        <v>5613.2590969130524</v>
      </c>
      <c r="I105" s="2">
        <f t="shared" si="42"/>
        <v>1167.5578921579149</v>
      </c>
      <c r="J105" s="2">
        <f t="shared" si="43"/>
        <v>4445.701204755138</v>
      </c>
      <c r="K105" s="2">
        <f t="shared" si="44"/>
        <v>2222.850602377569</v>
      </c>
      <c r="L105" s="2">
        <f t="shared" si="53"/>
        <v>2222.850602377569</v>
      </c>
      <c r="M105" s="28"/>
    </row>
    <row r="106" spans="1:13" x14ac:dyDescent="0.3">
      <c r="A106" s="2">
        <f t="shared" si="35"/>
        <v>112953.4525199757</v>
      </c>
      <c r="B106" s="23">
        <f t="shared" si="45"/>
        <v>9.8500000000000004E-2</v>
      </c>
      <c r="C106" s="2">
        <f t="shared" si="36"/>
        <v>120046.92933823017</v>
      </c>
      <c r="D106" s="2">
        <f t="shared" si="37"/>
        <v>7093.4768182544649</v>
      </c>
      <c r="E106" s="2">
        <f t="shared" si="38"/>
        <v>279.60045822984705</v>
      </c>
      <c r="F106" s="2">
        <f t="shared" si="39"/>
        <v>59</v>
      </c>
      <c r="G106" s="24">
        <f t="shared" si="40"/>
        <v>1027.7500544803295</v>
      </c>
      <c r="H106" s="25">
        <f t="shared" si="41"/>
        <v>5727.1263055442878</v>
      </c>
      <c r="I106" s="2">
        <f t="shared" si="42"/>
        <v>1191.2422715532118</v>
      </c>
      <c r="J106" s="2">
        <f t="shared" si="43"/>
        <v>4535.8840339910757</v>
      </c>
      <c r="K106" s="2">
        <f t="shared" si="44"/>
        <v>2267.9420169955379</v>
      </c>
      <c r="L106" s="2">
        <f t="shared" si="53"/>
        <v>2267.9420169955379</v>
      </c>
      <c r="M106" s="28"/>
    </row>
    <row r="107" spans="1:13" x14ac:dyDescent="0.3">
      <c r="A107" s="2">
        <f t="shared" si="35"/>
        <v>115221.39453697125</v>
      </c>
      <c r="B107" s="23">
        <f t="shared" si="45"/>
        <v>9.8500000000000004E-2</v>
      </c>
      <c r="C107" s="2">
        <f t="shared" si="36"/>
        <v>122457.29811389303</v>
      </c>
      <c r="D107" s="2">
        <f t="shared" si="37"/>
        <v>7235.903576921788</v>
      </c>
      <c r="E107" s="2">
        <f t="shared" si="38"/>
        <v>285.21443118103713</v>
      </c>
      <c r="F107" s="2">
        <f t="shared" si="39"/>
        <v>59</v>
      </c>
      <c r="G107" s="24">
        <f t="shared" si="40"/>
        <v>1048.3857896395818</v>
      </c>
      <c r="H107" s="25">
        <f t="shared" si="41"/>
        <v>5843.3033561011689</v>
      </c>
      <c r="I107" s="2">
        <f t="shared" si="42"/>
        <v>1215.4070980690433</v>
      </c>
      <c r="J107" s="2">
        <f t="shared" si="43"/>
        <v>4627.8962580321258</v>
      </c>
      <c r="K107" s="2">
        <f t="shared" si="44"/>
        <v>2313.9481290160629</v>
      </c>
      <c r="L107" s="2">
        <f t="shared" si="53"/>
        <v>2313.9481290160629</v>
      </c>
      <c r="M107" s="27">
        <f t="shared" ref="M107" si="60">(A107+A108+A109)/3</f>
        <v>117550.98912079603</v>
      </c>
    </row>
    <row r="108" spans="1:13" x14ac:dyDescent="0.3">
      <c r="A108" s="2">
        <f t="shared" si="35"/>
        <v>117535.34266598731</v>
      </c>
      <c r="B108" s="23">
        <f t="shared" si="45"/>
        <v>9.8500000000000004E-2</v>
      </c>
      <c r="C108" s="2">
        <f t="shared" si="36"/>
        <v>124916.56218541131</v>
      </c>
      <c r="D108" s="2">
        <f t="shared" si="37"/>
        <v>7381.2195194240048</v>
      </c>
      <c r="E108" s="2">
        <f t="shared" si="38"/>
        <v>290.9422858216783</v>
      </c>
      <c r="F108" s="2">
        <f t="shared" si="39"/>
        <v>59</v>
      </c>
      <c r="G108" s="24">
        <f t="shared" si="40"/>
        <v>1069.4401289501959</v>
      </c>
      <c r="H108" s="25">
        <f t="shared" si="41"/>
        <v>5961.8371046521306</v>
      </c>
      <c r="I108" s="2">
        <f t="shared" si="42"/>
        <v>1240.0621177676433</v>
      </c>
      <c r="J108" s="2">
        <f t="shared" si="43"/>
        <v>4721.7749868844876</v>
      </c>
      <c r="K108" s="2">
        <f t="shared" si="44"/>
        <v>2360.8874934422438</v>
      </c>
      <c r="L108" s="2">
        <f t="shared" si="53"/>
        <v>2360.8874934422438</v>
      </c>
      <c r="M108" s="28"/>
    </row>
    <row r="109" spans="1:13" x14ac:dyDescent="0.3">
      <c r="A109" s="2">
        <f t="shared" si="35"/>
        <v>119896.23015942956</v>
      </c>
      <c r="B109" s="23">
        <f t="shared" si="45"/>
        <v>9.8500000000000004E-2</v>
      </c>
      <c r="C109" s="2">
        <f t="shared" si="36"/>
        <v>127425.71341344173</v>
      </c>
      <c r="D109" s="2">
        <f t="shared" si="37"/>
        <v>7529.4832540121715</v>
      </c>
      <c r="E109" s="2">
        <f t="shared" si="38"/>
        <v>296.78633228744548</v>
      </c>
      <c r="F109" s="2">
        <f t="shared" si="39"/>
        <v>59</v>
      </c>
      <c r="G109" s="24">
        <f t="shared" si="40"/>
        <v>1090.921563965014</v>
      </c>
      <c r="H109" s="25">
        <f t="shared" si="41"/>
        <v>6082.7753577597123</v>
      </c>
      <c r="I109" s="2">
        <f t="shared" si="42"/>
        <v>1265.2172744140203</v>
      </c>
      <c r="J109" s="2">
        <f t="shared" si="43"/>
        <v>4817.5580833456916</v>
      </c>
      <c r="K109" s="2">
        <f t="shared" si="44"/>
        <v>2408.7790416728458</v>
      </c>
      <c r="L109" s="2">
        <f t="shared" si="53"/>
        <v>2408.7790416728458</v>
      </c>
      <c r="M109" s="28"/>
    </row>
    <row r="110" spans="1:13" x14ac:dyDescent="0.3">
      <c r="A110" s="2">
        <f t="shared" si="35"/>
        <v>122305.0092011024</v>
      </c>
      <c r="B110" s="23">
        <f t="shared" si="45"/>
        <v>9.8500000000000004E-2</v>
      </c>
      <c r="C110" s="2">
        <f t="shared" si="36"/>
        <v>129985.76377893162</v>
      </c>
      <c r="D110" s="2">
        <f t="shared" si="37"/>
        <v>7680.754577829226</v>
      </c>
      <c r="E110" s="2">
        <f t="shared" si="38"/>
        <v>302.74892757604078</v>
      </c>
      <c r="F110" s="2">
        <f t="shared" si="39"/>
        <v>59</v>
      </c>
      <c r="G110" s="24">
        <f t="shared" si="40"/>
        <v>1112.8387584914278</v>
      </c>
      <c r="H110" s="25">
        <f t="shared" si="41"/>
        <v>6206.1668917617571</v>
      </c>
      <c r="I110" s="2">
        <f t="shared" si="42"/>
        <v>1290.8827134864457</v>
      </c>
      <c r="J110" s="2">
        <f t="shared" si="43"/>
        <v>4915.2841782753112</v>
      </c>
      <c r="K110" s="2">
        <f t="shared" si="44"/>
        <v>2457.6420891376556</v>
      </c>
      <c r="L110" s="2">
        <f t="shared" si="53"/>
        <v>2457.6420891376556</v>
      </c>
      <c r="M110" s="27">
        <f t="shared" ref="M110" si="61">(A110+A111+A112)/3</f>
        <v>124779.26937489006</v>
      </c>
    </row>
    <row r="111" spans="1:13" x14ac:dyDescent="0.3">
      <c r="A111" s="2">
        <f t="shared" si="35"/>
        <v>124762.65129024006</v>
      </c>
      <c r="B111" s="23">
        <f t="shared" si="45"/>
        <v>9.8500000000000004E-2</v>
      </c>
      <c r="C111" s="2">
        <f t="shared" si="36"/>
        <v>132597.74579126714</v>
      </c>
      <c r="D111" s="2">
        <f t="shared" si="37"/>
        <v>7835.0945010270807</v>
      </c>
      <c r="E111" s="2">
        <f t="shared" si="38"/>
        <v>308.83247649780861</v>
      </c>
      <c r="F111" s="2">
        <f t="shared" si="39"/>
        <v>59</v>
      </c>
      <c r="G111" s="24">
        <f t="shared" si="40"/>
        <v>1135.2005520856317</v>
      </c>
      <c r="H111" s="25">
        <f t="shared" si="41"/>
        <v>6332.06147244364</v>
      </c>
      <c r="I111" s="2">
        <f t="shared" si="42"/>
        <v>1317.0687862682773</v>
      </c>
      <c r="J111" s="2">
        <f t="shared" si="43"/>
        <v>5014.9926861753629</v>
      </c>
      <c r="K111" s="2">
        <f t="shared" si="44"/>
        <v>2507.4963430876815</v>
      </c>
      <c r="L111" s="2">
        <f t="shared" si="53"/>
        <v>2507.4963430876815</v>
      </c>
      <c r="M111" s="28"/>
    </row>
    <row r="112" spans="1:13" x14ac:dyDescent="0.3">
      <c r="A112" s="2">
        <f t="shared" si="35"/>
        <v>127270.14763332774</v>
      </c>
      <c r="B112" s="23">
        <f t="shared" si="45"/>
        <v>9.8500000000000004E-2</v>
      </c>
      <c r="C112" s="2">
        <f t="shared" si="36"/>
        <v>135262.71290470072</v>
      </c>
      <c r="D112" s="2">
        <f t="shared" si="37"/>
        <v>7992.5652713729796</v>
      </c>
      <c r="E112" s="2">
        <f t="shared" si="38"/>
        <v>315.03943264563412</v>
      </c>
      <c r="F112" s="2">
        <f t="shared" si="39"/>
        <v>59</v>
      </c>
      <c r="G112" s="24">
        <f t="shared" si="40"/>
        <v>1158.0159636177566</v>
      </c>
      <c r="H112" s="25">
        <f t="shared" si="41"/>
        <v>6460.5098751095884</v>
      </c>
      <c r="I112" s="2">
        <f t="shared" si="42"/>
        <v>1343.7860540227946</v>
      </c>
      <c r="J112" s="2">
        <f t="shared" si="43"/>
        <v>5116.7238210867936</v>
      </c>
      <c r="K112" s="2">
        <f t="shared" si="44"/>
        <v>2558.3619105433968</v>
      </c>
      <c r="L112" s="2">
        <f t="shared" si="53"/>
        <v>2558.3619105433968</v>
      </c>
      <c r="M112" s="28"/>
    </row>
    <row r="113" spans="1:13" x14ac:dyDescent="0.3">
      <c r="A113" s="2">
        <f t="shared" si="35"/>
        <v>129828.50954387113</v>
      </c>
      <c r="B113" s="23">
        <f t="shared" si="45"/>
        <v>9.8500000000000004E-2</v>
      </c>
      <c r="C113" s="2">
        <f t="shared" si="36"/>
        <v>137981.73994322622</v>
      </c>
      <c r="D113" s="2">
        <f t="shared" si="37"/>
        <v>8153.2303993550886</v>
      </c>
      <c r="E113" s="2">
        <f t="shared" si="38"/>
        <v>321.37229938451685</v>
      </c>
      <c r="F113" s="2">
        <f t="shared" si="39"/>
        <v>59</v>
      </c>
      <c r="G113" s="24">
        <f t="shared" si="40"/>
        <v>1181.2941949093267</v>
      </c>
      <c r="H113" s="25">
        <f t="shared" si="41"/>
        <v>6591.5639050612454</v>
      </c>
      <c r="I113" s="2">
        <f t="shared" si="42"/>
        <v>1371.0452922527393</v>
      </c>
      <c r="J113" s="2">
        <f t="shared" si="43"/>
        <v>5220.5186128085061</v>
      </c>
      <c r="K113" s="2">
        <f t="shared" si="44"/>
        <v>2610.259306404253</v>
      </c>
      <c r="L113" s="2">
        <f t="shared" si="53"/>
        <v>2610.259306404253</v>
      </c>
      <c r="M113" s="27">
        <f t="shared" ref="M113" si="62">(A113+A114+A115)/3</f>
        <v>132456.41890204817</v>
      </c>
    </row>
    <row r="114" spans="1:13" x14ac:dyDescent="0.3">
      <c r="A114" s="2">
        <f t="shared" si="35"/>
        <v>132438.76885027537</v>
      </c>
      <c r="B114" s="23">
        <f t="shared" si="45"/>
        <v>9.8500000000000004E-2</v>
      </c>
      <c r="C114" s="2">
        <f t="shared" si="36"/>
        <v>140755.92353407267</v>
      </c>
      <c r="D114" s="2">
        <f t="shared" si="37"/>
        <v>8317.1546837973001</v>
      </c>
      <c r="E114" s="2">
        <f t="shared" si="38"/>
        <v>327.83363086121761</v>
      </c>
      <c r="F114" s="2">
        <f t="shared" si="39"/>
        <v>59</v>
      </c>
      <c r="G114" s="24">
        <f t="shared" si="40"/>
        <v>1205.0446344444997</v>
      </c>
      <c r="H114" s="25">
        <f t="shared" si="41"/>
        <v>6725.2764184915823</v>
      </c>
      <c r="I114" s="2">
        <f t="shared" si="42"/>
        <v>1398.8574950462491</v>
      </c>
      <c r="J114" s="2">
        <f t="shared" si="43"/>
        <v>5326.4189234453333</v>
      </c>
      <c r="K114" s="2">
        <f t="shared" si="44"/>
        <v>2663.2094617226667</v>
      </c>
      <c r="L114" s="2">
        <f t="shared" si="53"/>
        <v>2663.2094617226667</v>
      </c>
      <c r="M114" s="28"/>
    </row>
    <row r="115" spans="1:13" x14ac:dyDescent="0.3">
      <c r="A115" s="2">
        <f t="shared" si="35"/>
        <v>135101.97831199804</v>
      </c>
      <c r="B115" s="23">
        <f t="shared" si="45"/>
        <v>9.8500000000000004E-2</v>
      </c>
      <c r="C115" s="2">
        <f t="shared" si="36"/>
        <v>143586.38254999151</v>
      </c>
      <c r="D115" s="2">
        <f t="shared" si="37"/>
        <v>8484.404237993469</v>
      </c>
      <c r="E115" s="2">
        <f t="shared" si="38"/>
        <v>334.42603303438744</v>
      </c>
      <c r="F115" s="2">
        <f t="shared" si="39"/>
        <v>59</v>
      </c>
      <c r="G115" s="24">
        <f t="shared" si="40"/>
        <v>1229.2768611565957</v>
      </c>
      <c r="H115" s="25">
        <f t="shared" si="41"/>
        <v>6861.701343802486</v>
      </c>
      <c r="I115" s="2">
        <f t="shared" si="42"/>
        <v>1427.2338795109172</v>
      </c>
      <c r="J115" s="2">
        <f t="shared" si="43"/>
        <v>5434.4674642915688</v>
      </c>
      <c r="K115" s="2">
        <f t="shared" si="44"/>
        <v>2717.2337321457844</v>
      </c>
      <c r="L115" s="2">
        <f t="shared" si="53"/>
        <v>2717.2337321457844</v>
      </c>
      <c r="M115" s="28"/>
    </row>
    <row r="116" spans="1:13" x14ac:dyDescent="0.3">
      <c r="A116" s="2">
        <f t="shared" si="35"/>
        <v>137819.21204414382</v>
      </c>
      <c r="B116" s="23">
        <f t="shared" si="45"/>
        <v>9.8500000000000004E-2</v>
      </c>
      <c r="C116" s="2">
        <f t="shared" si="36"/>
        <v>146474.25856051606</v>
      </c>
      <c r="D116" s="2">
        <f t="shared" si="37"/>
        <v>8655.0465163722401</v>
      </c>
      <c r="E116" s="2">
        <f t="shared" si="38"/>
        <v>341.15216472559183</v>
      </c>
      <c r="F116" s="2">
        <f t="shared" si="39"/>
        <v>59</v>
      </c>
      <c r="G116" s="24">
        <f t="shared" si="40"/>
        <v>1254.0006482914312</v>
      </c>
      <c r="H116" s="25">
        <f t="shared" si="41"/>
        <v>7000.8937033552165</v>
      </c>
      <c r="I116" s="2">
        <f t="shared" si="42"/>
        <v>1456.1858902978852</v>
      </c>
      <c r="J116" s="2">
        <f t="shared" si="43"/>
        <v>5544.7078130573318</v>
      </c>
      <c r="K116" s="2">
        <f t="shared" si="44"/>
        <v>2772.3539065286659</v>
      </c>
      <c r="L116" s="2">
        <f t="shared" si="53"/>
        <v>2772.3539065286659</v>
      </c>
      <c r="M116" s="27">
        <f t="shared" ref="M116" si="63">(A116+A117+A118)/3</f>
        <v>140610.31205373691</v>
      </c>
    </row>
    <row r="117" spans="1:13" x14ac:dyDescent="0.3">
      <c r="A117" s="2">
        <f t="shared" si="35"/>
        <v>140591.56595067249</v>
      </c>
      <c r="B117" s="23">
        <f t="shared" si="45"/>
        <v>9.8500000000000004E-2</v>
      </c>
      <c r="C117" s="2">
        <f t="shared" si="36"/>
        <v>149420.71629237471</v>
      </c>
      <c r="D117" s="2">
        <f t="shared" si="37"/>
        <v>8829.1503417022177</v>
      </c>
      <c r="E117" s="2">
        <f t="shared" si="38"/>
        <v>348.01473869165659</v>
      </c>
      <c r="F117" s="2">
        <f t="shared" si="39"/>
        <v>59</v>
      </c>
      <c r="G117" s="24">
        <f t="shared" si="40"/>
        <v>1279.2259673490287</v>
      </c>
      <c r="H117" s="25">
        <f t="shared" si="41"/>
        <v>7142.9096356615328</v>
      </c>
      <c r="I117" s="2">
        <f t="shared" si="42"/>
        <v>1485.725204217599</v>
      </c>
      <c r="J117" s="2">
        <f t="shared" si="43"/>
        <v>5657.184431443934</v>
      </c>
      <c r="K117" s="2">
        <f t="shared" si="44"/>
        <v>2828.592215721967</v>
      </c>
      <c r="L117" s="2">
        <f t="shared" si="53"/>
        <v>2828.592215721967</v>
      </c>
      <c r="M117" s="28"/>
    </row>
    <row r="118" spans="1:13" x14ac:dyDescent="0.3">
      <c r="A118" s="2">
        <f t="shared" si="35"/>
        <v>143420.15816639445</v>
      </c>
      <c r="B118" s="23">
        <f t="shared" si="45"/>
        <v>9.8500000000000004E-2</v>
      </c>
      <c r="C118" s="2">
        <f t="shared" si="36"/>
        <v>152426.94409924402</v>
      </c>
      <c r="D118" s="2">
        <f t="shared" si="37"/>
        <v>9006.7859328495688</v>
      </c>
      <c r="E118" s="2">
        <f t="shared" si="38"/>
        <v>355.01652271876611</v>
      </c>
      <c r="F118" s="2">
        <f t="shared" si="39"/>
        <v>59</v>
      </c>
      <c r="G118" s="24">
        <f t="shared" si="40"/>
        <v>1304.962992105282</v>
      </c>
      <c r="H118" s="25">
        <f t="shared" si="41"/>
        <v>7287.8064180255205</v>
      </c>
      <c r="I118" s="2">
        <f t="shared" si="42"/>
        <v>1515.8637349493083</v>
      </c>
      <c r="J118" s="2">
        <f t="shared" si="43"/>
        <v>5771.9426830762122</v>
      </c>
      <c r="K118" s="2">
        <f t="shared" si="44"/>
        <v>2885.9713415381061</v>
      </c>
      <c r="L118" s="2">
        <f t="shared" si="53"/>
        <v>2885.9713415381061</v>
      </c>
      <c r="M118" s="28"/>
    </row>
    <row r="119" spans="1:13" x14ac:dyDescent="0.3">
      <c r="A119" s="2">
        <f t="shared" si="35"/>
        <v>146306.12950793255</v>
      </c>
      <c r="B119" s="23">
        <f t="shared" si="45"/>
        <v>9.8500000000000004E-2</v>
      </c>
      <c r="C119" s="2">
        <f t="shared" si="36"/>
        <v>155494.1544410307</v>
      </c>
      <c r="D119" s="2">
        <f t="shared" si="37"/>
        <v>9188.024933098146</v>
      </c>
      <c r="E119" s="2">
        <f t="shared" si="38"/>
        <v>362.16034073875591</v>
      </c>
      <c r="F119" s="2">
        <f t="shared" si="39"/>
        <v>59</v>
      </c>
      <c r="G119" s="24">
        <f t="shared" si="40"/>
        <v>1331.2221027152025</v>
      </c>
      <c r="H119" s="25">
        <f t="shared" si="41"/>
        <v>7435.6424896441877</v>
      </c>
      <c r="I119" s="2">
        <f t="shared" si="42"/>
        <v>1546.613637845991</v>
      </c>
      <c r="J119" s="2">
        <f t="shared" si="43"/>
        <v>5889.0288517981971</v>
      </c>
      <c r="K119" s="2">
        <f t="shared" si="44"/>
        <v>2944.5144258990986</v>
      </c>
      <c r="L119" s="2">
        <f t="shared" si="53"/>
        <v>2944.5144258990986</v>
      </c>
      <c r="M119" s="27">
        <f t="shared" ref="M119" si="64">(A119+A120+A121)/3</f>
        <v>149270.554151922</v>
      </c>
    </row>
    <row r="120" spans="1:13" x14ac:dyDescent="0.3">
      <c r="A120" s="2">
        <f t="shared" si="35"/>
        <v>149250.64393383166</v>
      </c>
      <c r="B120" s="23">
        <f t="shared" si="45"/>
        <v>9.8500000000000004E-2</v>
      </c>
      <c r="C120" s="2">
        <f t="shared" si="36"/>
        <v>158623.58437287627</v>
      </c>
      <c r="D120" s="2">
        <f t="shared" si="37"/>
        <v>9372.9404390446143</v>
      </c>
      <c r="E120" s="2">
        <f t="shared" si="38"/>
        <v>369.4490739680495</v>
      </c>
      <c r="F120" s="2">
        <f t="shared" si="39"/>
        <v>59</v>
      </c>
      <c r="G120" s="24">
        <f t="shared" si="40"/>
        <v>1358.0138898994032</v>
      </c>
      <c r="H120" s="25">
        <f t="shared" si="41"/>
        <v>7586.477475177162</v>
      </c>
      <c r="I120" s="2">
        <f t="shared" si="42"/>
        <v>1577.9873148368497</v>
      </c>
      <c r="J120" s="2">
        <f t="shared" si="43"/>
        <v>6008.4901603403123</v>
      </c>
      <c r="K120" s="2">
        <f t="shared" si="44"/>
        <v>3004.2450801701561</v>
      </c>
      <c r="L120" s="2">
        <f t="shared" si="53"/>
        <v>3004.2450801701561</v>
      </c>
      <c r="M120" s="28"/>
    </row>
    <row r="121" spans="1:13" x14ac:dyDescent="0.3">
      <c r="A121" s="2">
        <f t="shared" si="35"/>
        <v>152254.88901400182</v>
      </c>
      <c r="B121" s="23">
        <f t="shared" si="45"/>
        <v>9.8500000000000004E-2</v>
      </c>
      <c r="C121" s="2">
        <f t="shared" si="36"/>
        <v>161816.49604408114</v>
      </c>
      <c r="D121" s="2">
        <f t="shared" si="37"/>
        <v>9561.6070300793217</v>
      </c>
      <c r="E121" s="2">
        <f t="shared" si="38"/>
        <v>376.88566206969955</v>
      </c>
      <c r="F121" s="2">
        <f t="shared" si="39"/>
        <v>59</v>
      </c>
      <c r="G121" s="24">
        <f t="shared" si="40"/>
        <v>1385.3491592155058</v>
      </c>
      <c r="H121" s="25">
        <f t="shared" si="41"/>
        <v>7740.3722087941169</v>
      </c>
      <c r="I121" s="2">
        <f t="shared" si="42"/>
        <v>1609.9974194291765</v>
      </c>
      <c r="J121" s="2">
        <f t="shared" si="43"/>
        <v>6130.3747893649406</v>
      </c>
      <c r="K121" s="2">
        <f t="shared" si="44"/>
        <v>3065.1873946824703</v>
      </c>
      <c r="L121" s="2">
        <f t="shared" si="53"/>
        <v>3065.1873946824703</v>
      </c>
      <c r="M121" s="28"/>
    </row>
    <row r="122" spans="1:13" x14ac:dyDescent="0.3">
      <c r="A122" s="2">
        <f t="shared" si="35"/>
        <v>155320.07640868428</v>
      </c>
      <c r="B122" s="23">
        <f t="shared" si="45"/>
        <v>9.8500000000000004E-2</v>
      </c>
      <c r="C122" s="2">
        <f t="shared" si="36"/>
        <v>165074.17720714965</v>
      </c>
      <c r="D122" s="2">
        <f t="shared" si="37"/>
        <v>9754.1007984653697</v>
      </c>
      <c r="E122" s="2">
        <f t="shared" si="38"/>
        <v>384.47310433900071</v>
      </c>
      <c r="F122" s="2">
        <f t="shared" si="39"/>
        <v>59</v>
      </c>
      <c r="G122" s="24">
        <f t="shared" si="40"/>
        <v>1413.2389354161951</v>
      </c>
      <c r="H122" s="25">
        <f t="shared" si="41"/>
        <v>7897.3887587101744</v>
      </c>
      <c r="I122" s="2">
        <f t="shared" si="42"/>
        <v>1642.6568618117165</v>
      </c>
      <c r="J122" s="2">
        <f t="shared" si="43"/>
        <v>6254.7318968984582</v>
      </c>
      <c r="K122" s="2">
        <f t="shared" si="44"/>
        <v>3127.3659484492291</v>
      </c>
      <c r="L122" s="2">
        <f t="shared" si="53"/>
        <v>3127.3659484492291</v>
      </c>
      <c r="M122" s="27">
        <f t="shared" ref="M122" si="65">(A122+A123+A124)/3</f>
        <v>158468.58898067669</v>
      </c>
    </row>
    <row r="123" spans="1:13" x14ac:dyDescent="0.3">
      <c r="A123" s="2">
        <f t="shared" si="35"/>
        <v>158447.44235713352</v>
      </c>
      <c r="B123" s="23">
        <f t="shared" si="45"/>
        <v>9.8500000000000004E-2</v>
      </c>
      <c r="C123" s="2">
        <f t="shared" si="36"/>
        <v>168397.94173716151</v>
      </c>
      <c r="D123" s="2">
        <f t="shared" si="37"/>
        <v>9950.4993800279917</v>
      </c>
      <c r="E123" s="2">
        <f t="shared" si="38"/>
        <v>392.21446091315403</v>
      </c>
      <c r="F123" s="2">
        <f t="shared" si="39"/>
        <v>59</v>
      </c>
      <c r="G123" s="24">
        <f t="shared" si="40"/>
        <v>1441.6944668956799</v>
      </c>
      <c r="H123" s="25">
        <f t="shared" si="41"/>
        <v>8057.5904522191577</v>
      </c>
      <c r="I123" s="2">
        <f t="shared" si="42"/>
        <v>1675.9788140615849</v>
      </c>
      <c r="J123" s="2">
        <f t="shared" si="43"/>
        <v>6381.611638157573</v>
      </c>
      <c r="K123" s="2">
        <f t="shared" si="44"/>
        <v>3190.8058190787865</v>
      </c>
      <c r="L123" s="2">
        <f t="shared" si="53"/>
        <v>3190.8058190787865</v>
      </c>
      <c r="M123" s="28"/>
    </row>
    <row r="124" spans="1:13" x14ac:dyDescent="0.3">
      <c r="A124" s="2">
        <f t="shared" si="35"/>
        <v>161638.24817621231</v>
      </c>
      <c r="B124" s="23">
        <f t="shared" si="45"/>
        <v>9.8500000000000004E-2</v>
      </c>
      <c r="C124" s="2">
        <f t="shared" si="36"/>
        <v>171789.13016167845</v>
      </c>
      <c r="D124" s="2">
        <f t="shared" si="37"/>
        <v>10150.881985466141</v>
      </c>
      <c r="E124" s="2">
        <f t="shared" si="38"/>
        <v>400.11285400546882</v>
      </c>
      <c r="F124" s="2">
        <f t="shared" si="39"/>
        <v>59</v>
      </c>
      <c r="G124" s="24">
        <f t="shared" si="40"/>
        <v>1470.7272302263486</v>
      </c>
      <c r="H124" s="25">
        <f t="shared" si="41"/>
        <v>8221.0419012343245</v>
      </c>
      <c r="I124" s="2">
        <f t="shared" si="42"/>
        <v>1709.9767154567398</v>
      </c>
      <c r="J124" s="2">
        <f t="shared" si="43"/>
        <v>6511.0651857775847</v>
      </c>
      <c r="K124" s="2">
        <f t="shared" si="44"/>
        <v>3255.5325928887924</v>
      </c>
      <c r="L124" s="2">
        <f t="shared" si="53"/>
        <v>3255.5325928887924</v>
      </c>
      <c r="M124" s="28"/>
    </row>
    <row r="125" spans="1:13" x14ac:dyDescent="0.3">
      <c r="A125" s="2">
        <f t="shared" si="35"/>
        <v>164893.78076910111</v>
      </c>
      <c r="B125" s="23">
        <f t="shared" si="45"/>
        <v>9.8500000000000004E-2</v>
      </c>
      <c r="C125" s="2">
        <f t="shared" si="36"/>
        <v>175249.11020140065</v>
      </c>
      <c r="D125" s="2">
        <f t="shared" si="37"/>
        <v>10355.329432299535</v>
      </c>
      <c r="E125" s="2">
        <f t="shared" si="38"/>
        <v>408.17146916460206</v>
      </c>
      <c r="F125" s="2">
        <f t="shared" si="39"/>
        <v>59</v>
      </c>
      <c r="G125" s="24">
        <f t="shared" si="40"/>
        <v>1500.3489347874574</v>
      </c>
      <c r="H125" s="25">
        <f t="shared" si="41"/>
        <v>8387.8090283474776</v>
      </c>
      <c r="I125" s="2">
        <f t="shared" si="42"/>
        <v>1744.6642778962755</v>
      </c>
      <c r="J125" s="2">
        <f t="shared" si="43"/>
        <v>6643.1447504512016</v>
      </c>
      <c r="K125" s="2">
        <f t="shared" si="44"/>
        <v>3321.5723752256008</v>
      </c>
      <c r="L125" s="2">
        <f t="shared" si="53"/>
        <v>3321.5723752256008</v>
      </c>
      <c r="M125" s="27">
        <f t="shared" ref="M125" si="66">(A125+A126+A127)/3</f>
        <v>168237.81295291585</v>
      </c>
    </row>
    <row r="126" spans="1:13" x14ac:dyDescent="0.3">
      <c r="A126" s="2">
        <f t="shared" si="35"/>
        <v>168215.35314432671</v>
      </c>
      <c r="B126" s="23">
        <f t="shared" si="45"/>
        <v>9.8500000000000004E-2</v>
      </c>
      <c r="C126" s="2">
        <f t="shared" si="36"/>
        <v>178779.27732179043</v>
      </c>
      <c r="D126" s="2">
        <f t="shared" si="37"/>
        <v>10563.924177463719</v>
      </c>
      <c r="E126" s="2">
        <f t="shared" si="38"/>
        <v>416.3935565593406</v>
      </c>
      <c r="F126" s="2">
        <f t="shared" si="39"/>
        <v>59</v>
      </c>
      <c r="G126" s="24">
        <f t="shared" si="40"/>
        <v>1530.5715274877093</v>
      </c>
      <c r="H126" s="25">
        <f t="shared" si="41"/>
        <v>8557.9590934166699</v>
      </c>
      <c r="I126" s="2">
        <f t="shared" si="42"/>
        <v>1780.0554914306676</v>
      </c>
      <c r="J126" s="2">
        <f t="shared" si="43"/>
        <v>6777.9036019860023</v>
      </c>
      <c r="K126" s="2">
        <f t="shared" si="44"/>
        <v>3388.9518009930011</v>
      </c>
      <c r="L126" s="2">
        <f t="shared" si="53"/>
        <v>3388.9518009930011</v>
      </c>
      <c r="M126" s="28"/>
    </row>
    <row r="127" spans="1:13" x14ac:dyDescent="0.3">
      <c r="A127" s="2">
        <f t="shared" si="35"/>
        <v>171604.30494531972</v>
      </c>
      <c r="B127" s="23">
        <f t="shared" si="45"/>
        <v>9.8500000000000004E-2</v>
      </c>
      <c r="C127" s="2">
        <f t="shared" si="36"/>
        <v>182381.0552958858</v>
      </c>
      <c r="D127" s="2">
        <f t="shared" si="37"/>
        <v>10776.750350566086</v>
      </c>
      <c r="E127" s="2">
        <f t="shared" si="38"/>
        <v>424.7824322894466</v>
      </c>
      <c r="F127" s="2">
        <f t="shared" si="39"/>
        <v>59</v>
      </c>
      <c r="G127" s="24">
        <f t="shared" si="40"/>
        <v>1561.407197583635</v>
      </c>
      <c r="H127" s="25">
        <f t="shared" si="41"/>
        <v>8731.5607206930035</v>
      </c>
      <c r="I127" s="2">
        <f t="shared" si="42"/>
        <v>1816.1646299041449</v>
      </c>
      <c r="J127" s="2">
        <f t="shared" si="43"/>
        <v>6915.3960907888586</v>
      </c>
      <c r="K127" s="2">
        <f t="shared" si="44"/>
        <v>3457.6980453944293</v>
      </c>
      <c r="L127" s="2">
        <f t="shared" si="53"/>
        <v>3457.6980453944293</v>
      </c>
      <c r="M127" s="28"/>
    </row>
    <row r="128" spans="1:13" x14ac:dyDescent="0.3">
      <c r="A128" s="2">
        <f t="shared" si="35"/>
        <v>175062.00299071416</v>
      </c>
      <c r="B128" s="23">
        <f t="shared" si="45"/>
        <v>9.8500000000000004E-2</v>
      </c>
      <c r="C128" s="2">
        <f t="shared" si="36"/>
        <v>186055.89677853099</v>
      </c>
      <c r="D128" s="2">
        <f t="shared" si="37"/>
        <v>10993.893787816836</v>
      </c>
      <c r="E128" s="2">
        <f t="shared" si="38"/>
        <v>433.34147972309415</v>
      </c>
      <c r="F128" s="2">
        <f t="shared" si="39"/>
        <v>59</v>
      </c>
      <c r="G128" s="24">
        <f t="shared" si="40"/>
        <v>1592.8683815957147</v>
      </c>
      <c r="H128" s="25">
        <f t="shared" si="41"/>
        <v>8908.6839264980263</v>
      </c>
      <c r="I128" s="2">
        <f t="shared" si="42"/>
        <v>1853.0062567115897</v>
      </c>
      <c r="J128" s="2">
        <f t="shared" si="43"/>
        <v>7055.677669786437</v>
      </c>
      <c r="K128" s="2">
        <f t="shared" si="44"/>
        <v>3527.8388348932185</v>
      </c>
      <c r="L128" s="2">
        <f t="shared" si="53"/>
        <v>3527.8388348932185</v>
      </c>
      <c r="M128" s="27">
        <f t="shared" ref="M128" si="67">(A128+A129+A130)/3</f>
        <v>178613.6963667747</v>
      </c>
    </row>
    <row r="129" spans="1:13" s="4" customFormat="1" x14ac:dyDescent="0.3">
      <c r="A129" s="2">
        <f t="shared" si="35"/>
        <v>178589.84182560738</v>
      </c>
      <c r="B129" s="23">
        <f t="shared" si="45"/>
        <v>9.8500000000000004E-2</v>
      </c>
      <c r="C129" s="2">
        <f t="shared" si="36"/>
        <v>189805.28389225551</v>
      </c>
      <c r="D129" s="2">
        <f t="shared" si="37"/>
        <v>11215.442066648131</v>
      </c>
      <c r="E129" s="2">
        <f t="shared" si="38"/>
        <v>442.07415086143538</v>
      </c>
      <c r="F129" s="2">
        <f t="shared" si="39"/>
        <v>59</v>
      </c>
      <c r="G129" s="24">
        <f t="shared" si="40"/>
        <v>1624.9677683242267</v>
      </c>
      <c r="H129" s="25">
        <f t="shared" si="41"/>
        <v>9089.4001474624692</v>
      </c>
      <c r="I129" s="2">
        <f t="shared" si="42"/>
        <v>1890.5952306721938</v>
      </c>
      <c r="J129" s="2">
        <f t="shared" si="43"/>
        <v>7198.8049167902755</v>
      </c>
      <c r="K129" s="2">
        <f t="shared" si="44"/>
        <v>3599.4024583951377</v>
      </c>
      <c r="L129" s="2">
        <f t="shared" si="53"/>
        <v>3599.4024583951377</v>
      </c>
      <c r="M129" s="28"/>
    </row>
    <row r="130" spans="1:13" x14ac:dyDescent="0.3">
      <c r="A130" s="2">
        <f t="shared" si="35"/>
        <v>182189.24428400252</v>
      </c>
      <c r="B130" s="23">
        <f t="shared" si="45"/>
        <v>9.8500000000000004E-2</v>
      </c>
      <c r="C130" s="2">
        <f t="shared" si="36"/>
        <v>193630.72882503786</v>
      </c>
      <c r="D130" s="2">
        <f t="shared" si="37"/>
        <v>11441.484541035345</v>
      </c>
      <c r="E130" s="2">
        <f t="shared" si="38"/>
        <v>450.98396773084846</v>
      </c>
      <c r="F130" s="2">
        <f t="shared" si="39"/>
        <v>59</v>
      </c>
      <c r="G130" s="24">
        <f t="shared" si="40"/>
        <v>1657.718303966845</v>
      </c>
      <c r="H130" s="25">
        <f t="shared" si="41"/>
        <v>9273.7822693376511</v>
      </c>
      <c r="I130" s="2">
        <f t="shared" si="42"/>
        <v>1928.9467120222316</v>
      </c>
      <c r="J130" s="2">
        <f t="shared" si="43"/>
        <v>7344.8355573154195</v>
      </c>
      <c r="K130" s="2">
        <f t="shared" si="44"/>
        <v>3672.4177786577097</v>
      </c>
      <c r="L130" s="2">
        <f t="shared" si="53"/>
        <v>3672.4177786577097</v>
      </c>
      <c r="M130" s="28"/>
    </row>
    <row r="131" spans="1:13" x14ac:dyDescent="0.3">
      <c r="A131" s="2">
        <f t="shared" ref="A131:A194" si="68">A130+L130</f>
        <v>185861.66206266024</v>
      </c>
      <c r="B131" s="23">
        <f t="shared" si="45"/>
        <v>9.8500000000000004E-2</v>
      </c>
      <c r="C131" s="2">
        <f t="shared" ref="C131:C194" si="69">A131*1.0628</f>
        <v>197533.7744401953</v>
      </c>
      <c r="D131" s="2">
        <f t="shared" ref="D131:D194" si="70">C131-A131</f>
        <v>11672.112377535057</v>
      </c>
      <c r="E131" s="2">
        <f t="shared" ref="E131:E194" si="71">((A131+C131)*0.0012)</f>
        <v>460.07452380342659</v>
      </c>
      <c r="F131" s="2">
        <f t="shared" ref="F131:F194" si="72">(25*2)*1.18</f>
        <v>59</v>
      </c>
      <c r="G131" s="24">
        <f t="shared" ref="G131:G194" si="73">A131 * (17/30) * 8.5 * (B131 / 365 * 7)</f>
        <v>1691.1331973400465</v>
      </c>
      <c r="H131" s="25">
        <f t="shared" ref="H131:H194" si="74">D131-E131-F131-G131</f>
        <v>9461.9046563915836</v>
      </c>
      <c r="I131" s="2">
        <f t="shared" ref="I131:I194" si="75">(H131*0.2)*1.04</f>
        <v>1968.0761685294497</v>
      </c>
      <c r="J131" s="2">
        <f t="shared" ref="J131:J194" si="76">H131-I131</f>
        <v>7493.8284878621344</v>
      </c>
      <c r="K131" s="2">
        <f t="shared" ref="K131:K194" si="77">J131*0.5</f>
        <v>3746.9142439310672</v>
      </c>
      <c r="L131" s="2">
        <f t="shared" si="53"/>
        <v>3746.9142439310672</v>
      </c>
      <c r="M131" s="27">
        <f t="shared" ref="M131" si="78">(A131+A132+A133)/3</f>
        <v>189633.9121918926</v>
      </c>
    </row>
    <row r="132" spans="1:13" x14ac:dyDescent="0.3">
      <c r="A132" s="2">
        <f t="shared" si="68"/>
        <v>189608.57630659131</v>
      </c>
      <c r="B132" s="23">
        <f t="shared" ref="B132:B195" si="79">B131</f>
        <v>9.8500000000000004E-2</v>
      </c>
      <c r="C132" s="2">
        <f t="shared" si="69"/>
        <v>201515.99489864524</v>
      </c>
      <c r="D132" s="2">
        <f t="shared" si="70"/>
        <v>11907.418592053931</v>
      </c>
      <c r="E132" s="2">
        <f t="shared" si="71"/>
        <v>469.34948544628384</v>
      </c>
      <c r="F132" s="2">
        <f t="shared" si="72"/>
        <v>59</v>
      </c>
      <c r="G132" s="24">
        <f t="shared" si="73"/>
        <v>1725.2259252064414</v>
      </c>
      <c r="H132" s="25">
        <f t="shared" si="74"/>
        <v>9653.8431814012056</v>
      </c>
      <c r="I132" s="2">
        <f t="shared" si="75"/>
        <v>2007.999381731451</v>
      </c>
      <c r="J132" s="2">
        <f t="shared" si="76"/>
        <v>7645.8437996697548</v>
      </c>
      <c r="K132" s="2">
        <f t="shared" si="77"/>
        <v>3822.9218998348774</v>
      </c>
      <c r="L132" s="2">
        <f t="shared" si="53"/>
        <v>3822.9218998348774</v>
      </c>
      <c r="M132" s="28"/>
    </row>
    <row r="133" spans="1:13" x14ac:dyDescent="0.3">
      <c r="A133" s="2">
        <f t="shared" si="68"/>
        <v>193431.49820642619</v>
      </c>
      <c r="B133" s="23">
        <f t="shared" si="79"/>
        <v>9.8500000000000004E-2</v>
      </c>
      <c r="C133" s="2">
        <f t="shared" si="69"/>
        <v>205578.99629378974</v>
      </c>
      <c r="D133" s="2">
        <f t="shared" si="70"/>
        <v>12147.49808736355</v>
      </c>
      <c r="E133" s="2">
        <f t="shared" si="71"/>
        <v>478.81259340025906</v>
      </c>
      <c r="F133" s="2">
        <f t="shared" si="72"/>
        <v>59</v>
      </c>
      <c r="G133" s="24">
        <f t="shared" si="73"/>
        <v>1760.010237710165</v>
      </c>
      <c r="H133" s="25">
        <f t="shared" si="74"/>
        <v>9849.6752562531274</v>
      </c>
      <c r="I133" s="2">
        <f t="shared" si="75"/>
        <v>2048.7324533006508</v>
      </c>
      <c r="J133" s="2">
        <f t="shared" si="76"/>
        <v>7800.942802952477</v>
      </c>
      <c r="K133" s="2">
        <f t="shared" si="77"/>
        <v>3900.4714014762385</v>
      </c>
      <c r="L133" s="2">
        <f t="shared" si="53"/>
        <v>3900.4714014762385</v>
      </c>
      <c r="M133" s="28"/>
    </row>
    <row r="134" spans="1:13" x14ac:dyDescent="0.3">
      <c r="A134" s="2">
        <f t="shared" si="68"/>
        <v>197331.96960790243</v>
      </c>
      <c r="B134" s="23">
        <f t="shared" si="79"/>
        <v>9.8500000000000004E-2</v>
      </c>
      <c r="C134" s="2">
        <f t="shared" si="69"/>
        <v>209724.41729927869</v>
      </c>
      <c r="D134" s="2">
        <f t="shared" si="70"/>
        <v>12392.447691376263</v>
      </c>
      <c r="E134" s="2">
        <f t="shared" si="71"/>
        <v>488.4676642886173</v>
      </c>
      <c r="F134" s="2">
        <f t="shared" si="72"/>
        <v>59</v>
      </c>
      <c r="G134" s="24">
        <f t="shared" si="73"/>
        <v>1795.5001639225336</v>
      </c>
      <c r="H134" s="25">
        <f t="shared" si="74"/>
        <v>10049.479863165112</v>
      </c>
      <c r="I134" s="2">
        <f t="shared" si="75"/>
        <v>2090.2918115383436</v>
      </c>
      <c r="J134" s="2">
        <f t="shared" si="76"/>
        <v>7959.1880516267684</v>
      </c>
      <c r="K134" s="2">
        <f t="shared" si="77"/>
        <v>3979.5940258133842</v>
      </c>
      <c r="L134" s="2">
        <f t="shared" si="53"/>
        <v>3979.5940258133842</v>
      </c>
      <c r="M134" s="27">
        <f t="shared" ref="M134" si="80">(A134+A135+A136)/3</f>
        <v>201338.47285320141</v>
      </c>
    </row>
    <row r="135" spans="1:13" x14ac:dyDescent="0.3">
      <c r="A135" s="2">
        <f t="shared" si="68"/>
        <v>201311.56363371582</v>
      </c>
      <c r="B135" s="23">
        <f t="shared" si="79"/>
        <v>9.8500000000000004E-2</v>
      </c>
      <c r="C135" s="2">
        <f t="shared" si="69"/>
        <v>213953.92982991316</v>
      </c>
      <c r="D135" s="2">
        <f t="shared" si="70"/>
        <v>12642.366196197341</v>
      </c>
      <c r="E135" s="2">
        <f t="shared" si="71"/>
        <v>498.31859215635473</v>
      </c>
      <c r="F135" s="2">
        <f t="shared" si="72"/>
        <v>59</v>
      </c>
      <c r="G135" s="24">
        <f t="shared" si="73"/>
        <v>1831.710017500192</v>
      </c>
      <c r="H135" s="25">
        <f t="shared" si="74"/>
        <v>10253.337586540794</v>
      </c>
      <c r="I135" s="2">
        <f t="shared" si="75"/>
        <v>2132.6942180004853</v>
      </c>
      <c r="J135" s="2">
        <f t="shared" si="76"/>
        <v>8120.643368540309</v>
      </c>
      <c r="K135" s="2">
        <f t="shared" si="77"/>
        <v>4060.3216842701545</v>
      </c>
      <c r="L135" s="2">
        <f t="shared" si="53"/>
        <v>4060.3216842701545</v>
      </c>
      <c r="M135" s="28"/>
    </row>
    <row r="136" spans="1:13" x14ac:dyDescent="0.3">
      <c r="A136" s="2">
        <f t="shared" si="68"/>
        <v>205371.88531798599</v>
      </c>
      <c r="B136" s="23">
        <f t="shared" si="79"/>
        <v>9.8500000000000004E-2</v>
      </c>
      <c r="C136" s="2">
        <f t="shared" si="69"/>
        <v>218269.23971595551</v>
      </c>
      <c r="D136" s="2">
        <f t="shared" si="70"/>
        <v>12897.354397969524</v>
      </c>
      <c r="E136" s="2">
        <f t="shared" si="71"/>
        <v>508.36935004072973</v>
      </c>
      <c r="F136" s="2">
        <f t="shared" si="72"/>
        <v>59</v>
      </c>
      <c r="G136" s="24">
        <f t="shared" si="73"/>
        <v>1868.6544024580426</v>
      </c>
      <c r="H136" s="25">
        <f t="shared" si="74"/>
        <v>10461.330645470753</v>
      </c>
      <c r="I136" s="2">
        <f t="shared" si="75"/>
        <v>2175.9567742579165</v>
      </c>
      <c r="J136" s="2">
        <f t="shared" si="76"/>
        <v>8285.3738712128361</v>
      </c>
      <c r="K136" s="2">
        <f t="shared" si="77"/>
        <v>4142.686935606418</v>
      </c>
      <c r="L136" s="2">
        <f t="shared" si="53"/>
        <v>4142.686935606418</v>
      </c>
      <c r="M136" s="28"/>
    </row>
    <row r="137" spans="1:13" x14ac:dyDescent="0.3">
      <c r="A137" s="2">
        <f t="shared" si="68"/>
        <v>209514.5722535924</v>
      </c>
      <c r="B137" s="23">
        <f t="shared" si="79"/>
        <v>9.8500000000000004E-2</v>
      </c>
      <c r="C137" s="2">
        <f t="shared" si="69"/>
        <v>222672.087391118</v>
      </c>
      <c r="D137" s="2">
        <f t="shared" si="70"/>
        <v>13157.515137525595</v>
      </c>
      <c r="E137" s="2">
        <f t="shared" si="71"/>
        <v>518.62399157365235</v>
      </c>
      <c r="F137" s="2">
        <f t="shared" si="72"/>
        <v>59</v>
      </c>
      <c r="G137" s="24">
        <f t="shared" si="73"/>
        <v>1906.3482190592795</v>
      </c>
      <c r="H137" s="25">
        <f t="shared" si="74"/>
        <v>10673.542926892664</v>
      </c>
      <c r="I137" s="2">
        <f t="shared" si="75"/>
        <v>2220.0969287936741</v>
      </c>
      <c r="J137" s="2">
        <f t="shared" si="76"/>
        <v>8453.4459980989886</v>
      </c>
      <c r="K137" s="2">
        <f t="shared" si="77"/>
        <v>4226.7229990494943</v>
      </c>
      <c r="L137" s="2">
        <f t="shared" si="53"/>
        <v>4226.7229990494943</v>
      </c>
      <c r="M137" s="27">
        <f t="shared" ref="M137" si="81">(A137+A138+A139)/3</f>
        <v>213769.87550885612</v>
      </c>
    </row>
    <row r="138" spans="1:13" x14ac:dyDescent="0.3">
      <c r="A138" s="2">
        <f t="shared" si="68"/>
        <v>213741.2952526419</v>
      </c>
      <c r="B138" s="23">
        <f t="shared" si="79"/>
        <v>9.8500000000000004E-2</v>
      </c>
      <c r="C138" s="2">
        <f t="shared" si="69"/>
        <v>227164.24859450781</v>
      </c>
      <c r="D138" s="2">
        <f t="shared" si="70"/>
        <v>13422.953341865912</v>
      </c>
      <c r="E138" s="2">
        <f t="shared" si="71"/>
        <v>529.08665261657961</v>
      </c>
      <c r="F138" s="2">
        <f t="shared" si="72"/>
        <v>59</v>
      </c>
      <c r="G138" s="24">
        <f t="shared" si="73"/>
        <v>1944.8066698249002</v>
      </c>
      <c r="H138" s="25">
        <f t="shared" si="74"/>
        <v>10890.060019424433</v>
      </c>
      <c r="I138" s="2">
        <f t="shared" si="75"/>
        <v>2265.1324840402822</v>
      </c>
      <c r="J138" s="2">
        <f t="shared" si="76"/>
        <v>8624.9275353841513</v>
      </c>
      <c r="K138" s="2">
        <f t="shared" si="77"/>
        <v>4312.4637676920756</v>
      </c>
      <c r="L138" s="2">
        <f t="shared" si="53"/>
        <v>4312.4637676920756</v>
      </c>
      <c r="M138" s="28"/>
    </row>
    <row r="139" spans="1:13" x14ac:dyDescent="0.3">
      <c r="A139" s="2">
        <f t="shared" si="68"/>
        <v>218053.75902033396</v>
      </c>
      <c r="B139" s="23">
        <f t="shared" si="79"/>
        <v>9.8500000000000004E-2</v>
      </c>
      <c r="C139" s="2">
        <f t="shared" si="69"/>
        <v>231747.53508681094</v>
      </c>
      <c r="D139" s="2">
        <f t="shared" si="70"/>
        <v>13693.776066476974</v>
      </c>
      <c r="E139" s="2">
        <f t="shared" si="71"/>
        <v>539.76155292857391</v>
      </c>
      <c r="F139" s="2">
        <f t="shared" si="72"/>
        <v>59</v>
      </c>
      <c r="G139" s="24">
        <f t="shared" si="73"/>
        <v>1984.0452656651303</v>
      </c>
      <c r="H139" s="25">
        <f t="shared" si="74"/>
        <v>11110.969247883269</v>
      </c>
      <c r="I139" s="2">
        <f t="shared" si="75"/>
        <v>2311.0816035597204</v>
      </c>
      <c r="J139" s="2">
        <f t="shared" si="76"/>
        <v>8799.8876443235495</v>
      </c>
      <c r="K139" s="2">
        <f t="shared" si="77"/>
        <v>4399.9438221617747</v>
      </c>
      <c r="L139" s="2">
        <f t="shared" si="53"/>
        <v>4399.9438221617747</v>
      </c>
      <c r="M139" s="28"/>
    </row>
    <row r="140" spans="1:13" x14ac:dyDescent="0.3">
      <c r="A140" s="2">
        <f t="shared" si="68"/>
        <v>222453.70284249575</v>
      </c>
      <c r="B140" s="23">
        <f t="shared" si="79"/>
        <v>9.8500000000000004E-2</v>
      </c>
      <c r="C140" s="2">
        <f t="shared" si="69"/>
        <v>236423.79538100449</v>
      </c>
      <c r="D140" s="2">
        <f t="shared" si="70"/>
        <v>13970.092538508732</v>
      </c>
      <c r="E140" s="2">
        <f t="shared" si="71"/>
        <v>550.65299786820026</v>
      </c>
      <c r="F140" s="2">
        <f t="shared" si="72"/>
        <v>59</v>
      </c>
      <c r="G140" s="24">
        <f t="shared" si="73"/>
        <v>2024.0798321352211</v>
      </c>
      <c r="H140" s="25">
        <f t="shared" si="74"/>
        <v>11336.35970850531</v>
      </c>
      <c r="I140" s="2">
        <f t="shared" si="75"/>
        <v>2357.9628193691046</v>
      </c>
      <c r="J140" s="2">
        <f t="shared" si="76"/>
        <v>8978.3968891362056</v>
      </c>
      <c r="K140" s="2">
        <f t="shared" si="77"/>
        <v>4489.1984445681028</v>
      </c>
      <c r="L140" s="2">
        <f t="shared" si="53"/>
        <v>4489.1984445681028</v>
      </c>
      <c r="M140" s="27">
        <f t="shared" ref="M140" si="82">(A140+A141+A142)/3</f>
        <v>226973.25634978525</v>
      </c>
    </row>
    <row r="141" spans="1:13" x14ac:dyDescent="0.3">
      <c r="A141" s="2">
        <f t="shared" si="68"/>
        <v>226942.90128706387</v>
      </c>
      <c r="B141" s="23">
        <f t="shared" si="79"/>
        <v>9.8500000000000004E-2</v>
      </c>
      <c r="C141" s="2">
        <f t="shared" si="69"/>
        <v>241194.91548789147</v>
      </c>
      <c r="D141" s="2">
        <f t="shared" si="70"/>
        <v>14252.014200827602</v>
      </c>
      <c r="E141" s="2">
        <f t="shared" si="71"/>
        <v>561.76538012994638</v>
      </c>
      <c r="F141" s="2">
        <f t="shared" si="72"/>
        <v>59</v>
      </c>
      <c r="G141" s="24">
        <f t="shared" si="73"/>
        <v>2064.9265158181474</v>
      </c>
      <c r="H141" s="25">
        <f t="shared" si="74"/>
        <v>11566.322304879508</v>
      </c>
      <c r="I141" s="2">
        <f t="shared" si="75"/>
        <v>2405.7950394149379</v>
      </c>
      <c r="J141" s="2">
        <f t="shared" si="76"/>
        <v>9160.5272654645705</v>
      </c>
      <c r="K141" s="2">
        <f t="shared" si="77"/>
        <v>4580.2636327322853</v>
      </c>
      <c r="L141" s="2">
        <f t="shared" si="53"/>
        <v>4580.2636327322853</v>
      </c>
      <c r="M141" s="28"/>
    </row>
    <row r="142" spans="1:13" x14ac:dyDescent="0.3">
      <c r="A142" s="2">
        <f t="shared" si="68"/>
        <v>231523.16491979617</v>
      </c>
      <c r="B142" s="23">
        <f t="shared" si="79"/>
        <v>9.8500000000000004E-2</v>
      </c>
      <c r="C142" s="2">
        <f t="shared" si="69"/>
        <v>246062.81967675936</v>
      </c>
      <c r="D142" s="2">
        <f t="shared" si="70"/>
        <v>14539.654756963195</v>
      </c>
      <c r="E142" s="2">
        <f t="shared" si="71"/>
        <v>573.10318151586659</v>
      </c>
      <c r="F142" s="2">
        <f t="shared" si="72"/>
        <v>59</v>
      </c>
      <c r="G142" s="24">
        <f t="shared" si="73"/>
        <v>2106.6017908367871</v>
      </c>
      <c r="H142" s="25">
        <f t="shared" si="74"/>
        <v>11800.949784610542</v>
      </c>
      <c r="I142" s="2">
        <f t="shared" si="75"/>
        <v>2454.5975551989932</v>
      </c>
      <c r="J142" s="2">
        <f t="shared" si="76"/>
        <v>9346.3522294115501</v>
      </c>
      <c r="K142" s="2">
        <f t="shared" si="77"/>
        <v>4673.176114705775</v>
      </c>
      <c r="L142" s="2">
        <f t="shared" si="53"/>
        <v>4673.176114705775</v>
      </c>
      <c r="M142" s="28"/>
    </row>
    <row r="143" spans="1:13" x14ac:dyDescent="0.3">
      <c r="A143" s="2">
        <f t="shared" si="68"/>
        <v>236196.34103450194</v>
      </c>
      <c r="B143" s="23">
        <f t="shared" si="79"/>
        <v>9.8500000000000004E-2</v>
      </c>
      <c r="C143" s="2">
        <f t="shared" si="69"/>
        <v>251029.47125146864</v>
      </c>
      <c r="D143" s="2">
        <f t="shared" si="70"/>
        <v>14833.130216966703</v>
      </c>
      <c r="E143" s="2">
        <f t="shared" si="71"/>
        <v>584.67097474316461</v>
      </c>
      <c r="F143" s="2">
        <f t="shared" si="72"/>
        <v>59</v>
      </c>
      <c r="G143" s="24">
        <f t="shared" si="73"/>
        <v>2149.1224654981984</v>
      </c>
      <c r="H143" s="25">
        <f t="shared" si="74"/>
        <v>12040.33677672534</v>
      </c>
      <c r="I143" s="2">
        <f t="shared" si="75"/>
        <v>2504.3900495588709</v>
      </c>
      <c r="J143" s="2">
        <f t="shared" si="76"/>
        <v>9535.9467271664689</v>
      </c>
      <c r="K143" s="2">
        <f t="shared" si="77"/>
        <v>4767.9733635832345</v>
      </c>
      <c r="L143" s="2">
        <f t="shared" si="53"/>
        <v>4767.9733635832345</v>
      </c>
      <c r="M143" s="27">
        <f t="shared" ref="M143" si="83">(A143+A144+A145)/3</f>
        <v>240996.55448109613</v>
      </c>
    </row>
    <row r="144" spans="1:13" x14ac:dyDescent="0.3">
      <c r="A144" s="2">
        <f t="shared" si="68"/>
        <v>240964.31439808517</v>
      </c>
      <c r="B144" s="23">
        <f t="shared" si="79"/>
        <v>9.8500000000000004E-2</v>
      </c>
      <c r="C144" s="2">
        <f t="shared" si="69"/>
        <v>256096.8733422849</v>
      </c>
      <c r="D144" s="2">
        <f t="shared" si="70"/>
        <v>15132.558944199729</v>
      </c>
      <c r="E144" s="2">
        <f t="shared" si="71"/>
        <v>596.47342528844399</v>
      </c>
      <c r="F144" s="2">
        <f t="shared" si="72"/>
        <v>59</v>
      </c>
      <c r="G144" s="24">
        <f t="shared" si="73"/>
        <v>2192.5056890726778</v>
      </c>
      <c r="H144" s="25">
        <f t="shared" si="74"/>
        <v>12284.579829838607</v>
      </c>
      <c r="I144" s="2">
        <f t="shared" si="75"/>
        <v>2555.1926046064305</v>
      </c>
      <c r="J144" s="2">
        <f t="shared" si="76"/>
        <v>9729.3872252321762</v>
      </c>
      <c r="K144" s="2">
        <f t="shared" si="77"/>
        <v>4864.6936126160881</v>
      </c>
      <c r="L144" s="2">
        <f t="shared" si="53"/>
        <v>4864.6936126160881</v>
      </c>
      <c r="M144" s="28"/>
    </row>
    <row r="145" spans="1:13" x14ac:dyDescent="0.3">
      <c r="A145" s="2">
        <f t="shared" si="68"/>
        <v>245829.00801070128</v>
      </c>
      <c r="B145" s="23">
        <f t="shared" si="79"/>
        <v>9.8500000000000004E-2</v>
      </c>
      <c r="C145" s="2">
        <f t="shared" si="69"/>
        <v>261267.06971377332</v>
      </c>
      <c r="D145" s="2">
        <f t="shared" si="70"/>
        <v>15438.061703072046</v>
      </c>
      <c r="E145" s="2">
        <f t="shared" si="71"/>
        <v>608.51529326936941</v>
      </c>
      <c r="F145" s="2">
        <f t="shared" si="72"/>
        <v>59</v>
      </c>
      <c r="G145" s="24">
        <f t="shared" si="73"/>
        <v>2236.7689587103373</v>
      </c>
      <c r="H145" s="25">
        <f t="shared" si="74"/>
        <v>12533.777451092339</v>
      </c>
      <c r="I145" s="2">
        <f t="shared" si="75"/>
        <v>2607.0257098272068</v>
      </c>
      <c r="J145" s="2">
        <f t="shared" si="76"/>
        <v>9926.7517412651323</v>
      </c>
      <c r="K145" s="2">
        <f t="shared" si="77"/>
        <v>4963.3758706325661</v>
      </c>
      <c r="L145" s="2">
        <f t="shared" si="53"/>
        <v>4963.3758706325661</v>
      </c>
      <c r="M145" s="28"/>
    </row>
    <row r="146" spans="1:13" x14ac:dyDescent="0.3">
      <c r="A146" s="2">
        <f t="shared" si="68"/>
        <v>250792.38388133384</v>
      </c>
      <c r="B146" s="23">
        <f t="shared" si="79"/>
        <v>9.8500000000000004E-2</v>
      </c>
      <c r="C146" s="2">
        <f t="shared" si="69"/>
        <v>266542.14558908157</v>
      </c>
      <c r="D146" s="2">
        <f t="shared" si="70"/>
        <v>15749.761707747733</v>
      </c>
      <c r="E146" s="2">
        <f t="shared" si="71"/>
        <v>620.8014353644985</v>
      </c>
      <c r="F146" s="2">
        <f t="shared" si="72"/>
        <v>59</v>
      </c>
      <c r="G146" s="24">
        <f t="shared" si="73"/>
        <v>2281.9301264979877</v>
      </c>
      <c r="H146" s="25">
        <f t="shared" si="74"/>
        <v>12788.030145885248</v>
      </c>
      <c r="I146" s="2">
        <f t="shared" si="75"/>
        <v>2659.9102703441322</v>
      </c>
      <c r="J146" s="2">
        <f t="shared" si="76"/>
        <v>10128.119875541117</v>
      </c>
      <c r="K146" s="2">
        <f t="shared" si="77"/>
        <v>5064.0599377705585</v>
      </c>
      <c r="L146" s="2">
        <f t="shared" si="53"/>
        <v>5064.0599377705585</v>
      </c>
      <c r="M146" s="27">
        <f t="shared" ref="M146" si="84">(A146+A147+A148)/3</f>
        <v>255890.68598035746</v>
      </c>
    </row>
    <row r="147" spans="1:13" x14ac:dyDescent="0.3">
      <c r="A147" s="2">
        <f t="shared" si="68"/>
        <v>255856.4438191044</v>
      </c>
      <c r="B147" s="23">
        <f t="shared" si="79"/>
        <v>9.8500000000000004E-2</v>
      </c>
      <c r="C147" s="2">
        <f t="shared" si="69"/>
        <v>271924.22849094414</v>
      </c>
      <c r="D147" s="2">
        <f t="shared" si="70"/>
        <v>16067.784671839734</v>
      </c>
      <c r="E147" s="2">
        <f t="shared" si="71"/>
        <v>633.33680677205814</v>
      </c>
      <c r="F147" s="2">
        <f t="shared" si="72"/>
        <v>59</v>
      </c>
      <c r="G147" s="24">
        <f t="shared" si="73"/>
        <v>2328.0074066591665</v>
      </c>
      <c r="H147" s="25">
        <f t="shared" si="74"/>
        <v>13047.44045840851</v>
      </c>
      <c r="I147" s="2">
        <f t="shared" si="75"/>
        <v>2713.86761534897</v>
      </c>
      <c r="J147" s="2">
        <f t="shared" si="76"/>
        <v>10333.572843059539</v>
      </c>
      <c r="K147" s="2">
        <f t="shared" si="77"/>
        <v>5166.7864215297695</v>
      </c>
      <c r="L147" s="2">
        <f t="shared" si="53"/>
        <v>5166.7864215297695</v>
      </c>
      <c r="M147" s="28"/>
    </row>
    <row r="148" spans="1:13" x14ac:dyDescent="0.3">
      <c r="A148" s="2">
        <f t="shared" si="68"/>
        <v>261023.23024063418</v>
      </c>
      <c r="B148" s="23">
        <f t="shared" si="79"/>
        <v>9.8500000000000004E-2</v>
      </c>
      <c r="C148" s="2">
        <f t="shared" si="69"/>
        <v>277415.48909974599</v>
      </c>
      <c r="D148" s="2">
        <f t="shared" si="70"/>
        <v>16392.258859111811</v>
      </c>
      <c r="E148" s="2">
        <f t="shared" si="71"/>
        <v>646.12646320845613</v>
      </c>
      <c r="F148" s="2">
        <f t="shared" si="72"/>
        <v>59</v>
      </c>
      <c r="G148" s="24">
        <f t="shared" si="73"/>
        <v>2375.0193829002324</v>
      </c>
      <c r="H148" s="25">
        <f t="shared" si="74"/>
        <v>13312.113013003122</v>
      </c>
      <c r="I148" s="2">
        <f t="shared" si="75"/>
        <v>2768.9195067046494</v>
      </c>
      <c r="J148" s="2">
        <f t="shared" si="76"/>
        <v>10543.193506298472</v>
      </c>
      <c r="K148" s="2">
        <f t="shared" si="77"/>
        <v>5271.5967531492361</v>
      </c>
      <c r="L148" s="2">
        <f t="shared" si="53"/>
        <v>5271.5967531492361</v>
      </c>
      <c r="M148" s="28"/>
    </row>
    <row r="149" spans="1:13" x14ac:dyDescent="0.3">
      <c r="A149" s="2">
        <f t="shared" si="68"/>
        <v>266294.82699378341</v>
      </c>
      <c r="B149" s="23">
        <f t="shared" si="79"/>
        <v>9.8500000000000004E-2</v>
      </c>
      <c r="C149" s="2">
        <f t="shared" si="69"/>
        <v>283018.142128993</v>
      </c>
      <c r="D149" s="2">
        <f t="shared" si="70"/>
        <v>16723.315135209588</v>
      </c>
      <c r="E149" s="2">
        <f t="shared" si="71"/>
        <v>659.17556294733163</v>
      </c>
      <c r="F149" s="2">
        <f t="shared" si="72"/>
        <v>59</v>
      </c>
      <c r="G149" s="24">
        <f t="shared" si="73"/>
        <v>2422.9850159054681</v>
      </c>
      <c r="H149" s="25">
        <f t="shared" si="74"/>
        <v>13582.154556356789</v>
      </c>
      <c r="I149" s="2">
        <f t="shared" si="75"/>
        <v>2825.0881477222124</v>
      </c>
      <c r="J149" s="2">
        <f t="shared" si="76"/>
        <v>10757.066408634577</v>
      </c>
      <c r="K149" s="2">
        <f t="shared" si="77"/>
        <v>5378.5332043172884</v>
      </c>
      <c r="L149" s="2">
        <f t="shared" si="53"/>
        <v>5378.5332043172884</v>
      </c>
      <c r="M149" s="27">
        <f t="shared" ref="M149" si="85">(A149+A150+A151)/3</f>
        <v>271709.72876473499</v>
      </c>
    </row>
    <row r="150" spans="1:13" x14ac:dyDescent="0.3">
      <c r="A150" s="2">
        <f t="shared" si="68"/>
        <v>271673.36019810068</v>
      </c>
      <c r="B150" s="23">
        <f t="shared" si="79"/>
        <v>9.8500000000000004E-2</v>
      </c>
      <c r="C150" s="2">
        <f t="shared" si="69"/>
        <v>288734.44721854141</v>
      </c>
      <c r="D150" s="2">
        <f t="shared" si="70"/>
        <v>17061.087020440726</v>
      </c>
      <c r="E150" s="2">
        <f t="shared" si="71"/>
        <v>672.48936889997049</v>
      </c>
      <c r="F150" s="2">
        <f t="shared" si="72"/>
        <v>59</v>
      </c>
      <c r="G150" s="24">
        <f t="shared" si="73"/>
        <v>2471.9236509842299</v>
      </c>
      <c r="H150" s="25">
        <f t="shared" si="74"/>
        <v>13857.674000556526</v>
      </c>
      <c r="I150" s="2">
        <f t="shared" si="75"/>
        <v>2882.3961921157575</v>
      </c>
      <c r="J150" s="2">
        <f t="shared" si="76"/>
        <v>10975.277808440769</v>
      </c>
      <c r="K150" s="2">
        <f t="shared" si="77"/>
        <v>5487.6389042203846</v>
      </c>
      <c r="L150" s="2">
        <f t="shared" si="53"/>
        <v>5487.6389042203846</v>
      </c>
      <c r="M150" s="28"/>
    </row>
    <row r="151" spans="1:13" x14ac:dyDescent="0.3">
      <c r="A151" s="2">
        <f t="shared" si="68"/>
        <v>277160.99910232105</v>
      </c>
      <c r="B151" s="23">
        <f t="shared" si="79"/>
        <v>9.8500000000000004E-2</v>
      </c>
      <c r="C151" s="2">
        <f t="shared" si="69"/>
        <v>294566.70984594681</v>
      </c>
      <c r="D151" s="2">
        <f t="shared" si="70"/>
        <v>17405.710743625765</v>
      </c>
      <c r="E151" s="2">
        <f t="shared" si="71"/>
        <v>686.0732507379214</v>
      </c>
      <c r="F151" s="2">
        <f t="shared" si="72"/>
        <v>59</v>
      </c>
      <c r="G151" s="24">
        <f t="shared" si="73"/>
        <v>2521.8550258732216</v>
      </c>
      <c r="H151" s="25">
        <f t="shared" si="74"/>
        <v>14138.782467014622</v>
      </c>
      <c r="I151" s="2">
        <f t="shared" si="75"/>
        <v>2940.866753139042</v>
      </c>
      <c r="J151" s="2">
        <f t="shared" si="76"/>
        <v>11197.91571387558</v>
      </c>
      <c r="K151" s="2">
        <f t="shared" si="77"/>
        <v>5598.95785693779</v>
      </c>
      <c r="L151" s="2">
        <f t="shared" ref="L151:L201" si="86">J151-K151</f>
        <v>5598.95785693779</v>
      </c>
      <c r="M151" s="28"/>
    </row>
    <row r="152" spans="1:13" x14ac:dyDescent="0.3">
      <c r="A152" s="2">
        <f t="shared" si="68"/>
        <v>282759.95695925882</v>
      </c>
      <c r="B152" s="23">
        <f t="shared" si="79"/>
        <v>9.8500000000000004E-2</v>
      </c>
      <c r="C152" s="2">
        <f t="shared" si="69"/>
        <v>300517.28225630027</v>
      </c>
      <c r="D152" s="2">
        <f t="shared" si="70"/>
        <v>17757.325297041447</v>
      </c>
      <c r="E152" s="2">
        <f t="shared" si="71"/>
        <v>699.93268705867081</v>
      </c>
      <c r="F152" s="2">
        <f t="shared" si="72"/>
        <v>59</v>
      </c>
      <c r="G152" s="24">
        <f t="shared" si="73"/>
        <v>2572.7992786970408</v>
      </c>
      <c r="H152" s="25">
        <f t="shared" si="74"/>
        <v>14425.593331285736</v>
      </c>
      <c r="I152" s="2">
        <f t="shared" si="75"/>
        <v>3000.5234129074333</v>
      </c>
      <c r="J152" s="2">
        <f t="shared" si="76"/>
        <v>11425.069918378304</v>
      </c>
      <c r="K152" s="2">
        <f t="shared" si="77"/>
        <v>5712.5349591891518</v>
      </c>
      <c r="L152" s="2">
        <f t="shared" si="86"/>
        <v>5712.5349591891518</v>
      </c>
      <c r="M152" s="27">
        <f t="shared" ref="M152" si="87">(A152+A153+A154)/3</f>
        <v>288511.11893819895</v>
      </c>
    </row>
    <row r="153" spans="1:13" x14ac:dyDescent="0.3">
      <c r="A153" s="2">
        <f t="shared" si="68"/>
        <v>288472.49191844795</v>
      </c>
      <c r="B153" s="23">
        <f t="shared" si="79"/>
        <v>9.8500000000000004E-2</v>
      </c>
      <c r="C153" s="2">
        <f t="shared" si="69"/>
        <v>306588.56441092648</v>
      </c>
      <c r="D153" s="2">
        <f t="shared" si="70"/>
        <v>18116.072492478532</v>
      </c>
      <c r="E153" s="2">
        <f t="shared" si="71"/>
        <v>714.07326759524926</v>
      </c>
      <c r="F153" s="2">
        <f t="shared" si="72"/>
        <v>59</v>
      </c>
      <c r="G153" s="24">
        <f t="shared" si="73"/>
        <v>2624.7769560902052</v>
      </c>
      <c r="H153" s="25">
        <f t="shared" si="74"/>
        <v>14718.222268793077</v>
      </c>
      <c r="I153" s="2">
        <f t="shared" si="75"/>
        <v>3061.3902319089607</v>
      </c>
      <c r="J153" s="2">
        <f t="shared" si="76"/>
        <v>11656.832036884116</v>
      </c>
      <c r="K153" s="2">
        <f t="shared" si="77"/>
        <v>5828.416018442058</v>
      </c>
      <c r="L153" s="2">
        <f t="shared" si="86"/>
        <v>5828.416018442058</v>
      </c>
      <c r="M153" s="28"/>
    </row>
    <row r="154" spans="1:13" x14ac:dyDescent="0.3">
      <c r="A154" s="2">
        <f t="shared" si="68"/>
        <v>294300.90793689003</v>
      </c>
      <c r="B154" s="23">
        <f t="shared" si="79"/>
        <v>9.8500000000000004E-2</v>
      </c>
      <c r="C154" s="2">
        <f t="shared" si="69"/>
        <v>312783.00495532673</v>
      </c>
      <c r="D154" s="2">
        <f t="shared" si="70"/>
        <v>18482.097018436703</v>
      </c>
      <c r="E154" s="2">
        <f t="shared" si="71"/>
        <v>728.50069547066016</v>
      </c>
      <c r="F154" s="2">
        <f t="shared" si="72"/>
        <v>59</v>
      </c>
      <c r="G154" s="24">
        <f t="shared" si="73"/>
        <v>2677.8090214839435</v>
      </c>
      <c r="H154" s="25">
        <f t="shared" si="74"/>
        <v>15016.787301482102</v>
      </c>
      <c r="I154" s="2">
        <f t="shared" si="75"/>
        <v>3123.4917587082773</v>
      </c>
      <c r="J154" s="2">
        <f t="shared" si="76"/>
        <v>11893.295542773823</v>
      </c>
      <c r="K154" s="2">
        <f t="shared" si="77"/>
        <v>5946.6477713869117</v>
      </c>
      <c r="L154" s="2">
        <f t="shared" si="86"/>
        <v>5946.6477713869117</v>
      </c>
      <c r="M154" s="28"/>
    </row>
    <row r="155" spans="1:13" x14ac:dyDescent="0.3">
      <c r="A155" s="2">
        <f t="shared" si="68"/>
        <v>300247.55570827692</v>
      </c>
      <c r="B155" s="23">
        <f t="shared" si="79"/>
        <v>9.8500000000000004E-2</v>
      </c>
      <c r="C155" s="2">
        <f t="shared" si="69"/>
        <v>319103.10220675671</v>
      </c>
      <c r="D155" s="2">
        <f t="shared" si="70"/>
        <v>18855.546498479787</v>
      </c>
      <c r="E155" s="2">
        <f t="shared" si="71"/>
        <v>743.22078949804029</v>
      </c>
      <c r="F155" s="2">
        <f t="shared" si="72"/>
        <v>59</v>
      </c>
      <c r="G155" s="24">
        <f t="shared" si="73"/>
        <v>2731.9168635610799</v>
      </c>
      <c r="H155" s="25">
        <f t="shared" si="74"/>
        <v>15321.408845420665</v>
      </c>
      <c r="I155" s="2">
        <f t="shared" si="75"/>
        <v>3186.8530398474986</v>
      </c>
      <c r="J155" s="2">
        <f t="shared" si="76"/>
        <v>12134.555805573167</v>
      </c>
      <c r="K155" s="2">
        <f t="shared" si="77"/>
        <v>6067.2779027865836</v>
      </c>
      <c r="L155" s="2">
        <f t="shared" si="86"/>
        <v>6067.2779027865836</v>
      </c>
      <c r="M155" s="27">
        <f t="shared" ref="M155" si="88">(A155+A156+A157)/3</f>
        <v>306355.85933170415</v>
      </c>
    </row>
    <row r="156" spans="1:13" x14ac:dyDescent="0.3">
      <c r="A156" s="2">
        <f t="shared" si="68"/>
        <v>306314.83361106348</v>
      </c>
      <c r="B156" s="23">
        <f t="shared" si="79"/>
        <v>9.8500000000000004E-2</v>
      </c>
      <c r="C156" s="2">
        <f t="shared" si="69"/>
        <v>325551.40516183828</v>
      </c>
      <c r="D156" s="2">
        <f t="shared" si="70"/>
        <v>19236.571550774795</v>
      </c>
      <c r="E156" s="2">
        <f t="shared" si="71"/>
        <v>758.23948652748197</v>
      </c>
      <c r="F156" s="2">
        <f t="shared" si="72"/>
        <v>59</v>
      </c>
      <c r="G156" s="24">
        <f t="shared" si="73"/>
        <v>2787.1223048824368</v>
      </c>
      <c r="H156" s="25">
        <f t="shared" si="74"/>
        <v>15632.209759364876</v>
      </c>
      <c r="I156" s="2">
        <f t="shared" si="75"/>
        <v>3251.4996299478948</v>
      </c>
      <c r="J156" s="2">
        <f t="shared" si="76"/>
        <v>12380.710129416981</v>
      </c>
      <c r="K156" s="2">
        <f t="shared" si="77"/>
        <v>6190.3550647084903</v>
      </c>
      <c r="L156" s="2">
        <f t="shared" si="86"/>
        <v>6190.3550647084903</v>
      </c>
      <c r="M156" s="28"/>
    </row>
    <row r="157" spans="1:13" x14ac:dyDescent="0.3">
      <c r="A157" s="2">
        <f t="shared" si="68"/>
        <v>312505.18867577199</v>
      </c>
      <c r="B157" s="23">
        <f t="shared" si="79"/>
        <v>9.8500000000000004E-2</v>
      </c>
      <c r="C157" s="2">
        <f t="shared" si="69"/>
        <v>332130.51452461048</v>
      </c>
      <c r="D157" s="2">
        <f t="shared" si="70"/>
        <v>19625.325848838489</v>
      </c>
      <c r="E157" s="2">
        <f t="shared" si="71"/>
        <v>773.56284384045887</v>
      </c>
      <c r="F157" s="2">
        <f t="shared" si="72"/>
        <v>59</v>
      </c>
      <c r="G157" s="24">
        <f t="shared" si="73"/>
        <v>2843.4476106882212</v>
      </c>
      <c r="H157" s="25">
        <f t="shared" si="74"/>
        <v>15949.315394309808</v>
      </c>
      <c r="I157" s="2">
        <f t="shared" si="75"/>
        <v>3317.4576020164404</v>
      </c>
      <c r="J157" s="2">
        <f t="shared" si="76"/>
        <v>12631.857792293367</v>
      </c>
      <c r="K157" s="2">
        <f t="shared" si="77"/>
        <v>6315.9288961466837</v>
      </c>
      <c r="L157" s="2">
        <f t="shared" si="86"/>
        <v>6315.9288961466837</v>
      </c>
      <c r="M157" s="28"/>
    </row>
    <row r="158" spans="1:13" x14ac:dyDescent="0.3">
      <c r="A158" s="2">
        <f t="shared" si="68"/>
        <v>318821.1175719187</v>
      </c>
      <c r="B158" s="23">
        <f t="shared" si="79"/>
        <v>9.8500000000000004E-2</v>
      </c>
      <c r="C158" s="2">
        <f t="shared" si="69"/>
        <v>338843.08375543519</v>
      </c>
      <c r="D158" s="2">
        <f t="shared" si="70"/>
        <v>20021.966183516488</v>
      </c>
      <c r="E158" s="2">
        <f t="shared" si="71"/>
        <v>789.19704159282469</v>
      </c>
      <c r="F158" s="2">
        <f t="shared" si="72"/>
        <v>59</v>
      </c>
      <c r="G158" s="24">
        <f t="shared" si="73"/>
        <v>2900.9154978779529</v>
      </c>
      <c r="H158" s="25">
        <f t="shared" si="74"/>
        <v>16272.853644045708</v>
      </c>
      <c r="I158" s="2">
        <f t="shared" si="75"/>
        <v>3384.7535579615073</v>
      </c>
      <c r="J158" s="2">
        <f t="shared" si="76"/>
        <v>12888.100086084201</v>
      </c>
      <c r="K158" s="2">
        <f t="shared" si="77"/>
        <v>6444.0500430421007</v>
      </c>
      <c r="L158" s="2">
        <f t="shared" si="86"/>
        <v>6444.0500430421007</v>
      </c>
      <c r="M158" s="27">
        <f t="shared" ref="M158" si="89">(A158+A159+A160)/3</f>
        <v>325308.74099351646</v>
      </c>
    </row>
    <row r="159" spans="1:13" x14ac:dyDescent="0.3">
      <c r="A159" s="2">
        <f t="shared" si="68"/>
        <v>325265.16761496081</v>
      </c>
      <c r="B159" s="23">
        <f t="shared" si="79"/>
        <v>9.8500000000000004E-2</v>
      </c>
      <c r="C159" s="2">
        <f t="shared" si="69"/>
        <v>345691.82014118036</v>
      </c>
      <c r="D159" s="2">
        <f t="shared" si="70"/>
        <v>20426.65252621955</v>
      </c>
      <c r="E159" s="2">
        <f t="shared" si="71"/>
        <v>805.14838530736938</v>
      </c>
      <c r="F159" s="2">
        <f t="shared" si="72"/>
        <v>59</v>
      </c>
      <c r="G159" s="24">
        <f t="shared" si="73"/>
        <v>2959.5491441725562</v>
      </c>
      <c r="H159" s="25">
        <f t="shared" si="74"/>
        <v>16602.954996739623</v>
      </c>
      <c r="I159" s="2">
        <f t="shared" si="75"/>
        <v>3453.4146393218421</v>
      </c>
      <c r="J159" s="2">
        <f t="shared" si="76"/>
        <v>13149.540357417782</v>
      </c>
      <c r="K159" s="2">
        <f t="shared" si="77"/>
        <v>6574.7701787088909</v>
      </c>
      <c r="L159" s="2">
        <f t="shared" si="86"/>
        <v>6574.7701787088909</v>
      </c>
      <c r="M159" s="28"/>
    </row>
    <row r="160" spans="1:13" x14ac:dyDescent="0.3">
      <c r="A160" s="2">
        <f t="shared" si="68"/>
        <v>331839.9377936697</v>
      </c>
      <c r="B160" s="23">
        <f t="shared" si="79"/>
        <v>9.8500000000000004E-2</v>
      </c>
      <c r="C160" s="2">
        <f t="shared" si="69"/>
        <v>352679.48588711215</v>
      </c>
      <c r="D160" s="2">
        <f t="shared" si="70"/>
        <v>20839.548093442456</v>
      </c>
      <c r="E160" s="2">
        <f t="shared" si="71"/>
        <v>821.4233084169382</v>
      </c>
      <c r="F160" s="2">
        <f t="shared" si="72"/>
        <v>59</v>
      </c>
      <c r="G160" s="24">
        <f t="shared" si="73"/>
        <v>3019.3721974623058</v>
      </c>
      <c r="H160" s="25">
        <f t="shared" si="74"/>
        <v>16939.752587563213</v>
      </c>
      <c r="I160" s="2">
        <f t="shared" si="75"/>
        <v>3523.4685382131488</v>
      </c>
      <c r="J160" s="2">
        <f t="shared" si="76"/>
        <v>13416.284049350064</v>
      </c>
      <c r="K160" s="2">
        <f t="shared" si="77"/>
        <v>6708.1420246750322</v>
      </c>
      <c r="L160" s="2">
        <f t="shared" si="86"/>
        <v>6708.1420246750322</v>
      </c>
      <c r="M160" s="28"/>
    </row>
    <row r="161" spans="1:13" x14ac:dyDescent="0.3">
      <c r="A161" s="2">
        <f t="shared" si="68"/>
        <v>338548.07981834473</v>
      </c>
      <c r="B161" s="23">
        <f t="shared" si="79"/>
        <v>9.8500000000000004E-2</v>
      </c>
      <c r="C161" s="2">
        <f t="shared" si="69"/>
        <v>359808.89923093677</v>
      </c>
      <c r="D161" s="2">
        <f t="shared" si="70"/>
        <v>21260.819412592042</v>
      </c>
      <c r="E161" s="2">
        <f t="shared" si="71"/>
        <v>838.02837485913767</v>
      </c>
      <c r="F161" s="2">
        <f t="shared" si="72"/>
        <v>59</v>
      </c>
      <c r="G161" s="24">
        <f t="shared" si="73"/>
        <v>3080.4087853444003</v>
      </c>
      <c r="H161" s="25">
        <f t="shared" si="74"/>
        <v>17283.382252388503</v>
      </c>
      <c r="I161" s="2">
        <f t="shared" si="75"/>
        <v>3594.9435084968086</v>
      </c>
      <c r="J161" s="2">
        <f t="shared" si="76"/>
        <v>13688.438743891695</v>
      </c>
      <c r="K161" s="2">
        <f t="shared" si="77"/>
        <v>6844.2193719458473</v>
      </c>
      <c r="L161" s="2">
        <f t="shared" si="86"/>
        <v>6844.2193719458473</v>
      </c>
      <c r="M161" s="27">
        <f t="shared" ref="M161" si="90">(A161+A162+A163)/3</f>
        <v>345438.57843387482</v>
      </c>
    </row>
    <row r="162" spans="1:13" x14ac:dyDescent="0.3">
      <c r="A162" s="2">
        <f t="shared" si="68"/>
        <v>345392.29919029056</v>
      </c>
      <c r="B162" s="23">
        <f t="shared" si="79"/>
        <v>9.8500000000000004E-2</v>
      </c>
      <c r="C162" s="2">
        <f t="shared" si="69"/>
        <v>367082.93557944079</v>
      </c>
      <c r="D162" s="2">
        <f t="shared" si="70"/>
        <v>21690.636389150226</v>
      </c>
      <c r="E162" s="2">
        <f t="shared" si="71"/>
        <v>854.97028172367743</v>
      </c>
      <c r="F162" s="2">
        <f t="shared" si="72"/>
        <v>59</v>
      </c>
      <c r="G162" s="24">
        <f t="shared" si="73"/>
        <v>3142.6835248540115</v>
      </c>
      <c r="H162" s="25">
        <f t="shared" si="74"/>
        <v>17633.982582572538</v>
      </c>
      <c r="I162" s="2">
        <f t="shared" si="75"/>
        <v>3667.8683771750884</v>
      </c>
      <c r="J162" s="2">
        <f t="shared" si="76"/>
        <v>13966.114205397451</v>
      </c>
      <c r="K162" s="2">
        <f t="shared" si="77"/>
        <v>6983.0571026987254</v>
      </c>
      <c r="L162" s="2">
        <f t="shared" si="86"/>
        <v>6983.0571026987254</v>
      </c>
      <c r="M162" s="28"/>
    </row>
    <row r="163" spans="1:13" x14ac:dyDescent="0.3">
      <c r="A163" s="2">
        <f t="shared" si="68"/>
        <v>352375.35629298928</v>
      </c>
      <c r="B163" s="23">
        <f t="shared" si="79"/>
        <v>9.8500000000000004E-2</v>
      </c>
      <c r="C163" s="2">
        <f t="shared" si="69"/>
        <v>374504.52866818901</v>
      </c>
      <c r="D163" s="2">
        <f t="shared" si="70"/>
        <v>22129.172375199734</v>
      </c>
      <c r="E163" s="2">
        <f t="shared" si="71"/>
        <v>872.25586195341384</v>
      </c>
      <c r="F163" s="2">
        <f t="shared" si="72"/>
        <v>59</v>
      </c>
      <c r="G163" s="24">
        <f t="shared" si="73"/>
        <v>3206.2215323927244</v>
      </c>
      <c r="H163" s="25">
        <f t="shared" si="74"/>
        <v>17991.694980853597</v>
      </c>
      <c r="I163" s="2">
        <f t="shared" si="75"/>
        <v>3742.2725560175486</v>
      </c>
      <c r="J163" s="2">
        <f t="shared" si="76"/>
        <v>14249.422424836048</v>
      </c>
      <c r="K163" s="2">
        <f t="shared" si="77"/>
        <v>7124.7112124180239</v>
      </c>
      <c r="L163" s="2">
        <f t="shared" si="86"/>
        <v>7124.7112124180239</v>
      </c>
      <c r="M163" s="28"/>
    </row>
    <row r="164" spans="1:13" x14ac:dyDescent="0.3">
      <c r="A164" s="2">
        <f t="shared" si="68"/>
        <v>359500.06750540732</v>
      </c>
      <c r="B164" s="23">
        <f t="shared" si="79"/>
        <v>9.8500000000000004E-2</v>
      </c>
      <c r="C164" s="2">
        <f t="shared" si="69"/>
        <v>382076.67174474691</v>
      </c>
      <c r="D164" s="2">
        <f t="shared" si="70"/>
        <v>22576.604239339591</v>
      </c>
      <c r="E164" s="2">
        <f t="shared" si="71"/>
        <v>889.89208710018499</v>
      </c>
      <c r="F164" s="2">
        <f t="shared" si="72"/>
        <v>59</v>
      </c>
      <c r="G164" s="24">
        <f t="shared" si="73"/>
        <v>3271.0484338583901</v>
      </c>
      <c r="H164" s="25">
        <f t="shared" si="74"/>
        <v>18356.663718381016</v>
      </c>
      <c r="I164" s="2">
        <f t="shared" si="75"/>
        <v>3818.1860534232515</v>
      </c>
      <c r="J164" s="2">
        <f t="shared" si="76"/>
        <v>14538.477664957765</v>
      </c>
      <c r="K164" s="2">
        <f t="shared" si="77"/>
        <v>7269.2388324788826</v>
      </c>
      <c r="L164" s="2">
        <f t="shared" si="86"/>
        <v>7269.2388324788826</v>
      </c>
      <c r="M164" s="27">
        <f t="shared" ref="M164" si="91">(A164+A165+A166)/3</f>
        <v>366818.45947812294</v>
      </c>
    </row>
    <row r="165" spans="1:13" x14ac:dyDescent="0.3">
      <c r="A165" s="2">
        <f t="shared" si="68"/>
        <v>366769.3063378862</v>
      </c>
      <c r="B165" s="23">
        <f t="shared" si="79"/>
        <v>9.8500000000000004E-2</v>
      </c>
      <c r="C165" s="2">
        <f t="shared" si="69"/>
        <v>389802.41877590545</v>
      </c>
      <c r="D165" s="2">
        <f t="shared" si="70"/>
        <v>23033.112438019249</v>
      </c>
      <c r="E165" s="2">
        <f t="shared" si="71"/>
        <v>907.88607013654985</v>
      </c>
      <c r="F165" s="2">
        <f t="shared" si="72"/>
        <v>59</v>
      </c>
      <c r="G165" s="24">
        <f t="shared" si="73"/>
        <v>3337.1903749804592</v>
      </c>
      <c r="H165" s="25">
        <f t="shared" si="74"/>
        <v>18729.035992902242</v>
      </c>
      <c r="I165" s="2">
        <f t="shared" si="75"/>
        <v>3895.6394865236666</v>
      </c>
      <c r="J165" s="2">
        <f t="shared" si="76"/>
        <v>14833.396506378574</v>
      </c>
      <c r="K165" s="2">
        <f t="shared" si="77"/>
        <v>7416.6982531892872</v>
      </c>
      <c r="L165" s="2">
        <f t="shared" si="86"/>
        <v>7416.6982531892872</v>
      </c>
      <c r="M165" s="28"/>
    </row>
    <row r="166" spans="1:13" x14ac:dyDescent="0.3">
      <c r="A166" s="2">
        <f t="shared" si="68"/>
        <v>374186.00459107547</v>
      </c>
      <c r="B166" s="23">
        <f t="shared" si="79"/>
        <v>9.8500000000000004E-2</v>
      </c>
      <c r="C166" s="2">
        <f t="shared" si="69"/>
        <v>397684.885679395</v>
      </c>
      <c r="D166" s="2">
        <f t="shared" si="70"/>
        <v>23498.881088319526</v>
      </c>
      <c r="E166" s="2">
        <f t="shared" si="71"/>
        <v>926.24506832456439</v>
      </c>
      <c r="F166" s="2">
        <f t="shared" si="72"/>
        <v>59</v>
      </c>
      <c r="G166" s="24">
        <f t="shared" si="73"/>
        <v>3404.6740318649749</v>
      </c>
      <c r="H166" s="25">
        <f t="shared" si="74"/>
        <v>19108.961988129984</v>
      </c>
      <c r="I166" s="2">
        <f t="shared" si="75"/>
        <v>3974.664093531037</v>
      </c>
      <c r="J166" s="2">
        <f t="shared" si="76"/>
        <v>15134.297894598947</v>
      </c>
      <c r="K166" s="2">
        <f t="shared" si="77"/>
        <v>7567.1489472994735</v>
      </c>
      <c r="L166" s="2">
        <f t="shared" si="86"/>
        <v>7567.1489472994735</v>
      </c>
      <c r="M166" s="28"/>
    </row>
    <row r="167" spans="1:13" x14ac:dyDescent="0.3">
      <c r="A167" s="2">
        <f t="shared" si="68"/>
        <v>381753.15353837493</v>
      </c>
      <c r="B167" s="23">
        <f t="shared" si="79"/>
        <v>9.8500000000000004E-2</v>
      </c>
      <c r="C167" s="2">
        <f t="shared" si="69"/>
        <v>405727.25158058485</v>
      </c>
      <c r="D167" s="2">
        <f t="shared" si="70"/>
        <v>23974.098042209924</v>
      </c>
      <c r="E167" s="2">
        <f t="shared" si="71"/>
        <v>944.97648614275158</v>
      </c>
      <c r="F167" s="2">
        <f t="shared" si="72"/>
        <v>59</v>
      </c>
      <c r="G167" s="24">
        <f t="shared" si="73"/>
        <v>3473.5266217534727</v>
      </c>
      <c r="H167" s="25">
        <f t="shared" si="74"/>
        <v>19496.5949343137</v>
      </c>
      <c r="I167" s="2">
        <f t="shared" si="75"/>
        <v>4055.2917463372496</v>
      </c>
      <c r="J167" s="2">
        <f t="shared" si="76"/>
        <v>15441.303187976449</v>
      </c>
      <c r="K167" s="2">
        <f t="shared" si="77"/>
        <v>7720.6515939882247</v>
      </c>
      <c r="L167" s="2">
        <f t="shared" si="86"/>
        <v>7720.6515939882247</v>
      </c>
      <c r="M167" s="27">
        <f t="shared" ref="M167" si="92">(A167+A168+A169)/3</f>
        <v>389526.01063547906</v>
      </c>
    </row>
    <row r="168" spans="1:13" x14ac:dyDescent="0.3">
      <c r="A168" s="2">
        <f t="shared" si="68"/>
        <v>389473.80513236317</v>
      </c>
      <c r="B168" s="23">
        <f t="shared" si="79"/>
        <v>9.8500000000000004E-2</v>
      </c>
      <c r="C168" s="2">
        <f t="shared" si="69"/>
        <v>413932.76009467558</v>
      </c>
      <c r="D168" s="2">
        <f t="shared" si="70"/>
        <v>24458.954962312419</v>
      </c>
      <c r="E168" s="2">
        <f t="shared" si="71"/>
        <v>964.08787827244635</v>
      </c>
      <c r="F168" s="2">
        <f t="shared" si="72"/>
        <v>59</v>
      </c>
      <c r="G168" s="24">
        <f t="shared" si="73"/>
        <v>3543.7759140001331</v>
      </c>
      <c r="H168" s="25">
        <f t="shared" si="74"/>
        <v>19892.091170039839</v>
      </c>
      <c r="I168" s="2">
        <f t="shared" si="75"/>
        <v>4137.5549633682867</v>
      </c>
      <c r="J168" s="2">
        <f t="shared" si="76"/>
        <v>15754.536206671553</v>
      </c>
      <c r="K168" s="2">
        <f t="shared" si="77"/>
        <v>7877.2681033357767</v>
      </c>
      <c r="L168" s="2">
        <f t="shared" si="86"/>
        <v>7877.2681033357767</v>
      </c>
      <c r="M168" s="28"/>
    </row>
    <row r="169" spans="1:13" x14ac:dyDescent="0.3">
      <c r="A169" s="2">
        <f t="shared" si="68"/>
        <v>397351.07323569892</v>
      </c>
      <c r="B169" s="23">
        <f t="shared" si="79"/>
        <v>9.8500000000000004E-2</v>
      </c>
      <c r="C169" s="2">
        <f t="shared" si="69"/>
        <v>422304.72063490079</v>
      </c>
      <c r="D169" s="2">
        <f t="shared" si="70"/>
        <v>24953.647399201873</v>
      </c>
      <c r="E169" s="2">
        <f t="shared" si="71"/>
        <v>983.58695264471953</v>
      </c>
      <c r="F169" s="2">
        <f t="shared" si="72"/>
        <v>59</v>
      </c>
      <c r="G169" s="24">
        <f t="shared" si="73"/>
        <v>3615.4502412716051</v>
      </c>
      <c r="H169" s="25">
        <f t="shared" si="74"/>
        <v>20295.610205285546</v>
      </c>
      <c r="I169" s="2">
        <f t="shared" si="75"/>
        <v>4221.4869226993942</v>
      </c>
      <c r="J169" s="2">
        <f t="shared" si="76"/>
        <v>16074.123282586152</v>
      </c>
      <c r="K169" s="2">
        <f t="shared" si="77"/>
        <v>8037.0616412930758</v>
      </c>
      <c r="L169" s="2">
        <f t="shared" si="86"/>
        <v>8037.0616412930758</v>
      </c>
      <c r="M169" s="28"/>
    </row>
    <row r="170" spans="1:13" x14ac:dyDescent="0.3">
      <c r="A170" s="2">
        <f t="shared" si="68"/>
        <v>405388.13487699197</v>
      </c>
      <c r="B170" s="23">
        <f t="shared" si="79"/>
        <v>9.8500000000000004E-2</v>
      </c>
      <c r="C170" s="2">
        <f t="shared" si="69"/>
        <v>430846.50974726706</v>
      </c>
      <c r="D170" s="2">
        <f t="shared" si="70"/>
        <v>25458.374870275089</v>
      </c>
      <c r="E170" s="2">
        <f t="shared" si="71"/>
        <v>1003.4815735491109</v>
      </c>
      <c r="F170" s="2">
        <f t="shared" si="72"/>
        <v>59</v>
      </c>
      <c r="G170" s="24">
        <f t="shared" si="73"/>
        <v>3688.5785109740295</v>
      </c>
      <c r="H170" s="25">
        <f t="shared" si="74"/>
        <v>20707.314785751951</v>
      </c>
      <c r="I170" s="2">
        <f t="shared" si="75"/>
        <v>4307.1214754364055</v>
      </c>
      <c r="J170" s="2">
        <f t="shared" si="76"/>
        <v>16400.193310315546</v>
      </c>
      <c r="K170" s="2">
        <f t="shared" si="77"/>
        <v>8200.0966551577731</v>
      </c>
      <c r="L170" s="2">
        <f t="shared" si="86"/>
        <v>8200.0966551577731</v>
      </c>
      <c r="M170" s="27">
        <f t="shared" ref="M170" si="93">(A170+A171+A172)/3</f>
        <v>413643.67894695274</v>
      </c>
    </row>
    <row r="171" spans="1:13" x14ac:dyDescent="0.3">
      <c r="A171" s="2">
        <f t="shared" si="68"/>
        <v>413588.23153214972</v>
      </c>
      <c r="B171" s="23">
        <f t="shared" si="79"/>
        <v>9.8500000000000004E-2</v>
      </c>
      <c r="C171" s="2">
        <f t="shared" si="69"/>
        <v>439561.57247236872</v>
      </c>
      <c r="D171" s="2">
        <f t="shared" si="70"/>
        <v>25973.340940219001</v>
      </c>
      <c r="E171" s="2">
        <f t="shared" si="71"/>
        <v>1023.779764805422</v>
      </c>
      <c r="F171" s="2">
        <f t="shared" si="72"/>
        <v>59</v>
      </c>
      <c r="G171" s="24">
        <f t="shared" si="73"/>
        <v>3763.190216911853</v>
      </c>
      <c r="H171" s="25">
        <f t="shared" si="74"/>
        <v>21127.370958501728</v>
      </c>
      <c r="I171" s="2">
        <f t="shared" si="75"/>
        <v>4394.4931593683596</v>
      </c>
      <c r="J171" s="2">
        <f t="shared" si="76"/>
        <v>16732.87779913337</v>
      </c>
      <c r="K171" s="2">
        <f t="shared" si="77"/>
        <v>8366.438899566685</v>
      </c>
      <c r="L171" s="2">
        <f t="shared" si="86"/>
        <v>8366.438899566685</v>
      </c>
      <c r="M171" s="28"/>
    </row>
    <row r="172" spans="1:13" x14ac:dyDescent="0.3">
      <c r="A172" s="2">
        <f t="shared" si="68"/>
        <v>421954.67043171643</v>
      </c>
      <c r="B172" s="23">
        <f t="shared" si="79"/>
        <v>9.8500000000000004E-2</v>
      </c>
      <c r="C172" s="2">
        <f t="shared" si="69"/>
        <v>448453.42373482819</v>
      </c>
      <c r="D172" s="2">
        <f t="shared" si="70"/>
        <v>26498.753303111764</v>
      </c>
      <c r="E172" s="2">
        <f t="shared" si="71"/>
        <v>1044.4897129998535</v>
      </c>
      <c r="F172" s="2">
        <f t="shared" si="72"/>
        <v>59</v>
      </c>
      <c r="G172" s="24">
        <f t="shared" si="73"/>
        <v>3839.315451183159</v>
      </c>
      <c r="H172" s="25">
        <f t="shared" si="74"/>
        <v>21555.94813892875</v>
      </c>
      <c r="I172" s="2">
        <f t="shared" si="75"/>
        <v>4483.6372128971807</v>
      </c>
      <c r="J172" s="2">
        <f t="shared" si="76"/>
        <v>17072.310926031569</v>
      </c>
      <c r="K172" s="2">
        <f t="shared" si="77"/>
        <v>8536.1554630157843</v>
      </c>
      <c r="L172" s="2">
        <f t="shared" si="86"/>
        <v>8536.1554630157843</v>
      </c>
      <c r="M172" s="28"/>
    </row>
    <row r="173" spans="1:13" x14ac:dyDescent="0.3">
      <c r="A173" s="2">
        <f t="shared" si="68"/>
        <v>430490.8258947322</v>
      </c>
      <c r="B173" s="23">
        <f t="shared" si="79"/>
        <v>9.8500000000000004E-2</v>
      </c>
      <c r="C173" s="2">
        <f t="shared" si="69"/>
        <v>457525.64976092137</v>
      </c>
      <c r="D173" s="2">
        <f t="shared" si="70"/>
        <v>27034.823866189166</v>
      </c>
      <c r="E173" s="2">
        <f t="shared" si="71"/>
        <v>1065.6197707867841</v>
      </c>
      <c r="F173" s="2">
        <f t="shared" si="72"/>
        <v>59</v>
      </c>
      <c r="G173" s="24">
        <f t="shared" si="73"/>
        <v>3916.9849163162903</v>
      </c>
      <c r="H173" s="25">
        <f t="shared" si="74"/>
        <v>21993.219179086092</v>
      </c>
      <c r="I173" s="2">
        <f t="shared" si="75"/>
        <v>4574.5895892499084</v>
      </c>
      <c r="J173" s="2">
        <f t="shared" si="76"/>
        <v>17418.629589836186</v>
      </c>
      <c r="K173" s="2">
        <f t="shared" si="77"/>
        <v>8709.314794918093</v>
      </c>
      <c r="L173" s="2">
        <f t="shared" si="86"/>
        <v>8709.314794918093</v>
      </c>
      <c r="M173" s="27">
        <f t="shared" ref="M173" si="94">(A173+A174+A175)/3</f>
        <v>439259.03133574774</v>
      </c>
    </row>
    <row r="174" spans="1:13" x14ac:dyDescent="0.3">
      <c r="A174" s="2">
        <f t="shared" si="68"/>
        <v>439200.14068965032</v>
      </c>
      <c r="B174" s="23">
        <f t="shared" si="79"/>
        <v>9.8500000000000004E-2</v>
      </c>
      <c r="C174" s="2">
        <f t="shared" si="69"/>
        <v>466781.90952496033</v>
      </c>
      <c r="D174" s="2">
        <f t="shared" si="70"/>
        <v>27581.768835310009</v>
      </c>
      <c r="E174" s="2">
        <f t="shared" si="71"/>
        <v>1087.1784602575326</v>
      </c>
      <c r="F174" s="2">
        <f t="shared" si="72"/>
        <v>59</v>
      </c>
      <c r="G174" s="24">
        <f t="shared" si="73"/>
        <v>3996.2299376526717</v>
      </c>
      <c r="H174" s="25">
        <f t="shared" si="74"/>
        <v>22439.360437399806</v>
      </c>
      <c r="I174" s="2">
        <f t="shared" si="75"/>
        <v>4667.3869709791597</v>
      </c>
      <c r="J174" s="2">
        <f t="shared" si="76"/>
        <v>17771.973466420648</v>
      </c>
      <c r="K174" s="2">
        <f t="shared" si="77"/>
        <v>8885.986733210324</v>
      </c>
      <c r="L174" s="2">
        <f t="shared" si="86"/>
        <v>8885.986733210324</v>
      </c>
      <c r="M174" s="28"/>
    </row>
    <row r="175" spans="1:13" x14ac:dyDescent="0.3">
      <c r="A175" s="2">
        <f t="shared" si="68"/>
        <v>448086.12742286065</v>
      </c>
      <c r="B175" s="23">
        <f t="shared" si="79"/>
        <v>9.8500000000000004E-2</v>
      </c>
      <c r="C175" s="2">
        <f t="shared" si="69"/>
        <v>476225.93622501631</v>
      </c>
      <c r="D175" s="2">
        <f t="shared" si="70"/>
        <v>28139.808802155661</v>
      </c>
      <c r="E175" s="2">
        <f t="shared" si="71"/>
        <v>1109.1744763774523</v>
      </c>
      <c r="F175" s="2">
        <f t="shared" si="72"/>
        <v>59</v>
      </c>
      <c r="G175" s="24">
        <f t="shared" si="73"/>
        <v>4077.0824759808238</v>
      </c>
      <c r="H175" s="25">
        <f t="shared" si="74"/>
        <v>22894.551849797386</v>
      </c>
      <c r="I175" s="2">
        <f t="shared" si="75"/>
        <v>4762.0667847578561</v>
      </c>
      <c r="J175" s="2">
        <f t="shared" si="76"/>
        <v>18132.485065039531</v>
      </c>
      <c r="K175" s="2">
        <f t="shared" si="77"/>
        <v>9066.2425325197655</v>
      </c>
      <c r="L175" s="2">
        <f t="shared" si="86"/>
        <v>9066.2425325197655</v>
      </c>
      <c r="M175" s="28"/>
    </row>
    <row r="176" spans="1:13" x14ac:dyDescent="0.3">
      <c r="A176" s="2">
        <f t="shared" si="68"/>
        <v>457152.36995538039</v>
      </c>
      <c r="B176" s="23">
        <f t="shared" si="79"/>
        <v>9.8500000000000004E-2</v>
      </c>
      <c r="C176" s="2">
        <f t="shared" si="69"/>
        <v>485861.53878857824</v>
      </c>
      <c r="D176" s="2">
        <f t="shared" si="70"/>
        <v>28709.168833197851</v>
      </c>
      <c r="E176" s="2">
        <f t="shared" si="71"/>
        <v>1131.6166904927504</v>
      </c>
      <c r="F176" s="2">
        <f t="shared" si="72"/>
        <v>59</v>
      </c>
      <c r="G176" s="24">
        <f t="shared" si="73"/>
        <v>4159.5751404266593</v>
      </c>
      <c r="H176" s="25">
        <f t="shared" si="74"/>
        <v>23358.97700227844</v>
      </c>
      <c r="I176" s="2">
        <f t="shared" si="75"/>
        <v>4858.6672164739157</v>
      </c>
      <c r="J176" s="2">
        <f t="shared" si="76"/>
        <v>18500.309785804522</v>
      </c>
      <c r="K176" s="2">
        <f t="shared" si="77"/>
        <v>9250.1548929022611</v>
      </c>
      <c r="L176" s="2">
        <f t="shared" si="86"/>
        <v>9250.1548929022611</v>
      </c>
      <c r="M176" s="27">
        <f t="shared" ref="M176" si="95">(A176+A177+A178)/3</f>
        <v>466465.0725470364</v>
      </c>
    </row>
    <row r="177" spans="1:13" x14ac:dyDescent="0.3">
      <c r="A177" s="2">
        <f t="shared" si="68"/>
        <v>466402.52484828263</v>
      </c>
      <c r="B177" s="23">
        <f t="shared" si="79"/>
        <v>9.8500000000000004E-2</v>
      </c>
      <c r="C177" s="2">
        <f t="shared" si="69"/>
        <v>495692.60340875475</v>
      </c>
      <c r="D177" s="2">
        <f t="shared" si="70"/>
        <v>29290.078560472117</v>
      </c>
      <c r="E177" s="2">
        <f t="shared" si="71"/>
        <v>1154.5141539084448</v>
      </c>
      <c r="F177" s="2">
        <f t="shared" si="72"/>
        <v>59</v>
      </c>
      <c r="G177" s="24">
        <f t="shared" si="73"/>
        <v>4243.7412016052722</v>
      </c>
      <c r="H177" s="25">
        <f t="shared" si="74"/>
        <v>23832.8232049584</v>
      </c>
      <c r="I177" s="2">
        <f t="shared" si="75"/>
        <v>4957.2272266313475</v>
      </c>
      <c r="J177" s="2">
        <f t="shared" si="76"/>
        <v>18875.595978327052</v>
      </c>
      <c r="K177" s="2">
        <f t="shared" si="77"/>
        <v>9437.7979891635259</v>
      </c>
      <c r="L177" s="2">
        <f t="shared" si="86"/>
        <v>9437.7979891635259</v>
      </c>
      <c r="M177" s="28"/>
    </row>
    <row r="178" spans="1:13" x14ac:dyDescent="0.3">
      <c r="A178" s="2">
        <f t="shared" si="68"/>
        <v>475840.32283744618</v>
      </c>
      <c r="B178" s="23">
        <f t="shared" si="79"/>
        <v>9.8500000000000004E-2</v>
      </c>
      <c r="C178" s="2">
        <f t="shared" si="69"/>
        <v>505723.09511163778</v>
      </c>
      <c r="D178" s="2">
        <f t="shared" si="70"/>
        <v>29882.772274191608</v>
      </c>
      <c r="E178" s="2">
        <f t="shared" si="71"/>
        <v>1177.8761015389007</v>
      </c>
      <c r="F178" s="2">
        <f t="shared" si="72"/>
        <v>59</v>
      </c>
      <c r="G178" s="24">
        <f t="shared" si="73"/>
        <v>4329.6146050395037</v>
      </c>
      <c r="H178" s="25">
        <f t="shared" si="74"/>
        <v>24316.281567613205</v>
      </c>
      <c r="I178" s="2">
        <f t="shared" si="75"/>
        <v>5057.7865660635471</v>
      </c>
      <c r="J178" s="2">
        <f t="shared" si="76"/>
        <v>19258.495001549658</v>
      </c>
      <c r="K178" s="2">
        <f t="shared" si="77"/>
        <v>9629.2475007748289</v>
      </c>
      <c r="L178" s="2">
        <f t="shared" si="86"/>
        <v>9629.2475007748289</v>
      </c>
      <c r="M178" s="28"/>
    </row>
    <row r="179" spans="1:13" x14ac:dyDescent="0.3">
      <c r="A179" s="2">
        <f t="shared" si="68"/>
        <v>485469.57033822103</v>
      </c>
      <c r="B179" s="23">
        <f t="shared" si="79"/>
        <v>9.8500000000000004E-2</v>
      </c>
      <c r="C179" s="2">
        <f t="shared" si="69"/>
        <v>515957.05935546127</v>
      </c>
      <c r="D179" s="2">
        <f t="shared" si="70"/>
        <v>30487.489017240237</v>
      </c>
      <c r="E179" s="2">
        <f t="shared" si="71"/>
        <v>1201.7119556324187</v>
      </c>
      <c r="F179" s="2">
        <f t="shared" si="72"/>
        <v>59</v>
      </c>
      <c r="G179" s="24">
        <f t="shared" si="73"/>
        <v>4417.22998485072</v>
      </c>
      <c r="H179" s="25">
        <f t="shared" si="74"/>
        <v>24809.547076757099</v>
      </c>
      <c r="I179" s="2">
        <f t="shared" si="75"/>
        <v>5160.3857919654765</v>
      </c>
      <c r="J179" s="2">
        <f t="shared" si="76"/>
        <v>19649.161284791622</v>
      </c>
      <c r="K179" s="2">
        <f t="shared" si="77"/>
        <v>9824.5806423958111</v>
      </c>
      <c r="L179" s="2">
        <f t="shared" si="86"/>
        <v>9824.5806423958111</v>
      </c>
      <c r="M179" s="27">
        <f t="shared" ref="M179" si="96">(A179+A180+A181)/3</f>
        <v>495360.58283149049</v>
      </c>
    </row>
    <row r="180" spans="1:13" x14ac:dyDescent="0.3">
      <c r="A180" s="2">
        <f t="shared" si="68"/>
        <v>495294.15098061686</v>
      </c>
      <c r="B180" s="23">
        <f t="shared" si="79"/>
        <v>9.8500000000000004E-2</v>
      </c>
      <c r="C180" s="2">
        <f t="shared" si="69"/>
        <v>526398.62366219959</v>
      </c>
      <c r="D180" s="2">
        <f t="shared" si="70"/>
        <v>31104.472681582731</v>
      </c>
      <c r="E180" s="2">
        <f t="shared" si="71"/>
        <v>1226.0313295713797</v>
      </c>
      <c r="F180" s="2">
        <f t="shared" si="72"/>
        <v>59</v>
      </c>
      <c r="G180" s="24">
        <f t="shared" si="73"/>
        <v>4506.6226777273105</v>
      </c>
      <c r="H180" s="25">
        <f t="shared" si="74"/>
        <v>25312.818674284041</v>
      </c>
      <c r="I180" s="2">
        <f t="shared" si="75"/>
        <v>5265.066284251081</v>
      </c>
      <c r="J180" s="2">
        <f t="shared" si="76"/>
        <v>20047.752390032962</v>
      </c>
      <c r="K180" s="2">
        <f t="shared" si="77"/>
        <v>10023.876195016481</v>
      </c>
      <c r="L180" s="2">
        <f t="shared" si="86"/>
        <v>10023.876195016481</v>
      </c>
      <c r="M180" s="28"/>
    </row>
    <row r="181" spans="1:13" x14ac:dyDescent="0.3">
      <c r="A181" s="2">
        <f t="shared" si="68"/>
        <v>505318.02717563335</v>
      </c>
      <c r="B181" s="23">
        <f t="shared" si="79"/>
        <v>9.8500000000000004E-2</v>
      </c>
      <c r="C181" s="2">
        <f t="shared" si="69"/>
        <v>537051.9992822631</v>
      </c>
      <c r="D181" s="2">
        <f t="shared" si="70"/>
        <v>31733.97210662975</v>
      </c>
      <c r="E181" s="2">
        <f t="shared" si="71"/>
        <v>1250.8440317494756</v>
      </c>
      <c r="F181" s="2">
        <f t="shared" si="72"/>
        <v>59</v>
      </c>
      <c r="G181" s="24">
        <f t="shared" si="73"/>
        <v>4597.8287371765373</v>
      </c>
      <c r="H181" s="25">
        <f t="shared" si="74"/>
        <v>25826.299337703738</v>
      </c>
      <c r="I181" s="2">
        <f t="shared" si="75"/>
        <v>5371.870262242378</v>
      </c>
      <c r="J181" s="2">
        <f t="shared" si="76"/>
        <v>20454.429075461361</v>
      </c>
      <c r="K181" s="2">
        <f t="shared" si="77"/>
        <v>10227.214537730681</v>
      </c>
      <c r="L181" s="2">
        <f t="shared" si="86"/>
        <v>10227.214537730681</v>
      </c>
      <c r="M181" s="28"/>
    </row>
    <row r="182" spans="1:13" x14ac:dyDescent="0.3">
      <c r="A182" s="2">
        <f t="shared" si="68"/>
        <v>515545.24171336403</v>
      </c>
      <c r="B182" s="23">
        <f t="shared" si="79"/>
        <v>9.8500000000000004E-2</v>
      </c>
      <c r="C182" s="2">
        <f t="shared" si="69"/>
        <v>547921.48289296322</v>
      </c>
      <c r="D182" s="2">
        <f t="shared" si="70"/>
        <v>32376.241179599194</v>
      </c>
      <c r="E182" s="2">
        <f t="shared" si="71"/>
        <v>1276.1600695275927</v>
      </c>
      <c r="F182" s="2">
        <f t="shared" si="72"/>
        <v>59</v>
      </c>
      <c r="G182" s="24">
        <f t="shared" si="73"/>
        <v>4690.8849480654944</v>
      </c>
      <c r="H182" s="25">
        <f t="shared" si="74"/>
        <v>26350.196162006108</v>
      </c>
      <c r="I182" s="2">
        <f t="shared" si="75"/>
        <v>5480.8408016972708</v>
      </c>
      <c r="J182" s="2">
        <f t="shared" si="76"/>
        <v>20869.355360308837</v>
      </c>
      <c r="K182" s="2">
        <f t="shared" si="77"/>
        <v>10434.677680154418</v>
      </c>
      <c r="L182" s="2">
        <f t="shared" si="86"/>
        <v>10434.677680154418</v>
      </c>
      <c r="M182" s="27">
        <f t="shared" ref="M182" si="97">(A182+A183+A184)/3</f>
        <v>526050.47659863427</v>
      </c>
    </row>
    <row r="183" spans="1:13" x14ac:dyDescent="0.3">
      <c r="A183" s="2">
        <f t="shared" si="68"/>
        <v>525979.91939351847</v>
      </c>
      <c r="B183" s="23">
        <f t="shared" si="79"/>
        <v>9.8500000000000004E-2</v>
      </c>
      <c r="C183" s="2">
        <f t="shared" si="69"/>
        <v>559011.45833143138</v>
      </c>
      <c r="D183" s="2">
        <f t="shared" si="70"/>
        <v>33031.538937912905</v>
      </c>
      <c r="E183" s="2">
        <f t="shared" si="71"/>
        <v>1301.9896532699395</v>
      </c>
      <c r="F183" s="2">
        <f t="shared" si="72"/>
        <v>59</v>
      </c>
      <c r="G183" s="24">
        <f t="shared" si="73"/>
        <v>4785.8288414570388</v>
      </c>
      <c r="H183" s="25">
        <f t="shared" si="74"/>
        <v>26884.720443185928</v>
      </c>
      <c r="I183" s="2">
        <f t="shared" si="75"/>
        <v>5592.0218521826737</v>
      </c>
      <c r="J183" s="2">
        <f t="shared" si="76"/>
        <v>21292.698591003253</v>
      </c>
      <c r="K183" s="2">
        <f t="shared" si="77"/>
        <v>10646.349295501626</v>
      </c>
      <c r="L183" s="2">
        <f t="shared" si="86"/>
        <v>10646.349295501626</v>
      </c>
      <c r="M183" s="28"/>
    </row>
    <row r="184" spans="1:13" x14ac:dyDescent="0.3">
      <c r="A184" s="2">
        <f t="shared" si="68"/>
        <v>536626.26868902007</v>
      </c>
      <c r="B184" s="23">
        <f t="shared" si="79"/>
        <v>9.8500000000000004E-2</v>
      </c>
      <c r="C184" s="2">
        <f t="shared" si="69"/>
        <v>570326.39836269047</v>
      </c>
      <c r="D184" s="2">
        <f t="shared" si="70"/>
        <v>33700.129673670395</v>
      </c>
      <c r="E184" s="2">
        <f t="shared" si="71"/>
        <v>1328.3432004620527</v>
      </c>
      <c r="F184" s="2">
        <f t="shared" si="72"/>
        <v>59</v>
      </c>
      <c r="G184" s="24">
        <f t="shared" si="73"/>
        <v>4882.6987097466636</v>
      </c>
      <c r="H184" s="25">
        <f t="shared" si="74"/>
        <v>27430.087763461681</v>
      </c>
      <c r="I184" s="2">
        <f t="shared" si="75"/>
        <v>5705.4582548000308</v>
      </c>
      <c r="J184" s="2">
        <f t="shared" si="76"/>
        <v>21724.629508661652</v>
      </c>
      <c r="K184" s="2">
        <f t="shared" si="77"/>
        <v>10862.314754330826</v>
      </c>
      <c r="L184" s="2">
        <f t="shared" si="86"/>
        <v>10862.314754330826</v>
      </c>
      <c r="M184" s="28"/>
    </row>
    <row r="185" spans="1:13" x14ac:dyDescent="0.3">
      <c r="A185" s="2">
        <f t="shared" si="68"/>
        <v>547488.58344335086</v>
      </c>
      <c r="B185" s="23">
        <f t="shared" si="79"/>
        <v>9.8500000000000004E-2</v>
      </c>
      <c r="C185" s="2">
        <f t="shared" si="69"/>
        <v>581870.86648359324</v>
      </c>
      <c r="D185" s="2">
        <f t="shared" si="70"/>
        <v>34382.283040242386</v>
      </c>
      <c r="E185" s="2">
        <f t="shared" si="71"/>
        <v>1355.2313399123327</v>
      </c>
      <c r="F185" s="2">
        <f t="shared" si="72"/>
        <v>59</v>
      </c>
      <c r="G185" s="24">
        <f t="shared" si="73"/>
        <v>4981.533622106439</v>
      </c>
      <c r="H185" s="25">
        <f t="shared" si="74"/>
        <v>27986.518078223617</v>
      </c>
      <c r="I185" s="2">
        <f t="shared" si="75"/>
        <v>5821.1957602705124</v>
      </c>
      <c r="J185" s="2">
        <f t="shared" si="76"/>
        <v>22165.322317953105</v>
      </c>
      <c r="K185" s="2">
        <f t="shared" si="77"/>
        <v>11082.661158976553</v>
      </c>
      <c r="L185" s="2">
        <f t="shared" si="86"/>
        <v>11082.661158976553</v>
      </c>
      <c r="M185" s="27">
        <f t="shared" ref="M185" si="98">(A185+A186+A187)/3</f>
        <v>558646.18334222829</v>
      </c>
    </row>
    <row r="186" spans="1:13" x14ac:dyDescent="0.3">
      <c r="A186" s="2">
        <f t="shared" si="68"/>
        <v>558571.24460232747</v>
      </c>
      <c r="B186" s="23">
        <f t="shared" si="79"/>
        <v>9.8500000000000004E-2</v>
      </c>
      <c r="C186" s="2">
        <f t="shared" si="69"/>
        <v>593649.51876335358</v>
      </c>
      <c r="D186" s="2">
        <f t="shared" si="70"/>
        <v>35078.274161026115</v>
      </c>
      <c r="E186" s="2">
        <f t="shared" si="71"/>
        <v>1382.6649160388172</v>
      </c>
      <c r="F186" s="2">
        <f t="shared" si="72"/>
        <v>59</v>
      </c>
      <c r="G186" s="24">
        <f t="shared" si="73"/>
        <v>5082.3734402422415</v>
      </c>
      <c r="H186" s="25">
        <f t="shared" si="74"/>
        <v>28554.235804745054</v>
      </c>
      <c r="I186" s="2">
        <f t="shared" si="75"/>
        <v>5939.2810473869722</v>
      </c>
      <c r="J186" s="2">
        <f t="shared" si="76"/>
        <v>22614.954757358082</v>
      </c>
      <c r="K186" s="2">
        <f t="shared" si="77"/>
        <v>11307.477378679041</v>
      </c>
      <c r="L186" s="2">
        <f t="shared" si="86"/>
        <v>11307.477378679041</v>
      </c>
      <c r="M186" s="28"/>
    </row>
    <row r="187" spans="1:13" x14ac:dyDescent="0.3">
      <c r="A187" s="2">
        <f t="shared" si="68"/>
        <v>569878.72198100656</v>
      </c>
      <c r="B187" s="23">
        <f t="shared" si="79"/>
        <v>9.8500000000000004E-2</v>
      </c>
      <c r="C187" s="2">
        <f t="shared" si="69"/>
        <v>605667.10572141374</v>
      </c>
      <c r="D187" s="2">
        <f t="shared" si="70"/>
        <v>35788.383740407182</v>
      </c>
      <c r="E187" s="2">
        <f t="shared" si="71"/>
        <v>1410.6549932429043</v>
      </c>
      <c r="F187" s="2">
        <f t="shared" si="72"/>
        <v>59</v>
      </c>
      <c r="G187" s="24">
        <f t="shared" si="73"/>
        <v>5185.2588344706055</v>
      </c>
      <c r="H187" s="25">
        <f t="shared" si="74"/>
        <v>29133.469912693672</v>
      </c>
      <c r="I187" s="2">
        <f t="shared" si="75"/>
        <v>6059.7617418402842</v>
      </c>
      <c r="J187" s="2">
        <f t="shared" si="76"/>
        <v>23073.708170853388</v>
      </c>
      <c r="K187" s="2">
        <f t="shared" si="77"/>
        <v>11536.854085426694</v>
      </c>
      <c r="L187" s="2">
        <f t="shared" si="86"/>
        <v>11536.854085426694</v>
      </c>
      <c r="M187" s="28"/>
    </row>
    <row r="188" spans="1:13" x14ac:dyDescent="0.3">
      <c r="A188" s="2">
        <f t="shared" si="68"/>
        <v>581415.57606643322</v>
      </c>
      <c r="B188" s="23">
        <f t="shared" si="79"/>
        <v>9.8500000000000004E-2</v>
      </c>
      <c r="C188" s="2">
        <f t="shared" si="69"/>
        <v>617928.47424340516</v>
      </c>
      <c r="D188" s="2">
        <f t="shared" si="70"/>
        <v>36512.898176971939</v>
      </c>
      <c r="E188" s="2">
        <f t="shared" si="71"/>
        <v>1439.2128603718058</v>
      </c>
      <c r="F188" s="2">
        <f t="shared" si="72"/>
        <v>59</v>
      </c>
      <c r="G188" s="24">
        <f t="shared" si="73"/>
        <v>5290.2313001217281</v>
      </c>
      <c r="H188" s="25">
        <f t="shared" si="74"/>
        <v>29724.454016478405</v>
      </c>
      <c r="I188" s="2">
        <f t="shared" si="75"/>
        <v>6182.6864354275094</v>
      </c>
      <c r="J188" s="2">
        <f t="shared" si="76"/>
        <v>23541.767581050895</v>
      </c>
      <c r="K188" s="2">
        <f t="shared" si="77"/>
        <v>11770.883790525448</v>
      </c>
      <c r="L188" s="2">
        <f t="shared" si="86"/>
        <v>11770.883790525448</v>
      </c>
      <c r="M188" s="27">
        <f t="shared" ref="M188" si="99">(A188+A189+A190)/3</f>
        <v>593266.05222075374</v>
      </c>
    </row>
    <row r="189" spans="1:13" x14ac:dyDescent="0.3">
      <c r="A189" s="2">
        <f t="shared" si="68"/>
        <v>593186.45985695871</v>
      </c>
      <c r="B189" s="23">
        <f t="shared" si="79"/>
        <v>9.8500000000000004E-2</v>
      </c>
      <c r="C189" s="2">
        <f t="shared" si="69"/>
        <v>630438.56953597569</v>
      </c>
      <c r="D189" s="2">
        <f t="shared" si="70"/>
        <v>37252.109679016983</v>
      </c>
      <c r="E189" s="2">
        <f t="shared" si="71"/>
        <v>1468.3500352715212</v>
      </c>
      <c r="F189" s="2">
        <f t="shared" si="72"/>
        <v>59</v>
      </c>
      <c r="G189" s="24">
        <f t="shared" si="73"/>
        <v>5397.3331742751971</v>
      </c>
      <c r="H189" s="25">
        <f t="shared" si="74"/>
        <v>30327.426469470265</v>
      </c>
      <c r="I189" s="2">
        <f t="shared" si="75"/>
        <v>6308.1047056498155</v>
      </c>
      <c r="J189" s="2">
        <f t="shared" si="76"/>
        <v>24019.321763820451</v>
      </c>
      <c r="K189" s="2">
        <f t="shared" si="77"/>
        <v>12009.660881910226</v>
      </c>
      <c r="L189" s="2">
        <f t="shared" si="86"/>
        <v>12009.660881910226</v>
      </c>
      <c r="M189" s="28"/>
    </row>
    <row r="190" spans="1:13" x14ac:dyDescent="0.3">
      <c r="A190" s="2">
        <f t="shared" si="68"/>
        <v>605196.12073886895</v>
      </c>
      <c r="B190" s="23">
        <f t="shared" si="79"/>
        <v>9.8500000000000004E-2</v>
      </c>
      <c r="C190" s="2">
        <f t="shared" si="69"/>
        <v>643202.43712126988</v>
      </c>
      <c r="D190" s="2">
        <f t="shared" si="70"/>
        <v>38006.316382400924</v>
      </c>
      <c r="E190" s="2">
        <f t="shared" si="71"/>
        <v>1498.0782694321665</v>
      </c>
      <c r="F190" s="2">
        <f t="shared" si="72"/>
        <v>59</v>
      </c>
      <c r="G190" s="24">
        <f t="shared" si="73"/>
        <v>5506.6076528352096</v>
      </c>
      <c r="H190" s="25">
        <f t="shared" si="74"/>
        <v>30942.630460133547</v>
      </c>
      <c r="I190" s="2">
        <f t="shared" si="75"/>
        <v>6436.067135707779</v>
      </c>
      <c r="J190" s="2">
        <f t="shared" si="76"/>
        <v>24506.56332442577</v>
      </c>
      <c r="K190" s="2">
        <f t="shared" si="77"/>
        <v>12253.281662212885</v>
      </c>
      <c r="L190" s="2">
        <f t="shared" si="86"/>
        <v>12253.281662212885</v>
      </c>
      <c r="M190" s="28"/>
    </row>
    <row r="191" spans="1:13" x14ac:dyDescent="0.3">
      <c r="A191" s="2">
        <f t="shared" si="68"/>
        <v>617449.40240108187</v>
      </c>
      <c r="B191" s="23">
        <f t="shared" si="79"/>
        <v>9.8500000000000004E-2</v>
      </c>
      <c r="C191" s="2">
        <f t="shared" si="69"/>
        <v>656225.22487186978</v>
      </c>
      <c r="D191" s="2">
        <f t="shared" si="70"/>
        <v>38775.822470787913</v>
      </c>
      <c r="E191" s="2">
        <f t="shared" si="71"/>
        <v>1528.4095527275419</v>
      </c>
      <c r="F191" s="2">
        <f t="shared" si="72"/>
        <v>59</v>
      </c>
      <c r="G191" s="24">
        <f t="shared" si="73"/>
        <v>5618.0988079521812</v>
      </c>
      <c r="H191" s="25">
        <f t="shared" si="74"/>
        <v>31570.314110108189</v>
      </c>
      <c r="I191" s="2">
        <f t="shared" si="75"/>
        <v>6566.6253349025046</v>
      </c>
      <c r="J191" s="2">
        <f t="shared" si="76"/>
        <v>25003.688775205686</v>
      </c>
      <c r="K191" s="2">
        <f t="shared" si="77"/>
        <v>12501.844387602843</v>
      </c>
      <c r="L191" s="2">
        <f t="shared" si="86"/>
        <v>12501.844387602843</v>
      </c>
      <c r="M191" s="27">
        <f t="shared" ref="M191" si="100">(A191+A192+A193)/3</f>
        <v>630035.78176195547</v>
      </c>
    </row>
    <row r="192" spans="1:13" x14ac:dyDescent="0.3">
      <c r="A192" s="2">
        <f t="shared" si="68"/>
        <v>629951.24678868474</v>
      </c>
      <c r="B192" s="23">
        <f t="shared" si="79"/>
        <v>9.8500000000000004E-2</v>
      </c>
      <c r="C192" s="2">
        <f t="shared" si="69"/>
        <v>669512.18508701411</v>
      </c>
      <c r="D192" s="2">
        <f t="shared" si="70"/>
        <v>39560.938298329362</v>
      </c>
      <c r="E192" s="2">
        <f t="shared" si="71"/>
        <v>1559.3561182508383</v>
      </c>
      <c r="F192" s="2">
        <f t="shared" si="72"/>
        <v>59</v>
      </c>
      <c r="G192" s="24">
        <f t="shared" si="73"/>
        <v>5731.8516057977467</v>
      </c>
      <c r="H192" s="25">
        <f t="shared" si="74"/>
        <v>32210.730574280773</v>
      </c>
      <c r="I192" s="2">
        <f t="shared" si="75"/>
        <v>6699.831959450401</v>
      </c>
      <c r="J192" s="2">
        <f t="shared" si="76"/>
        <v>25510.898614830374</v>
      </c>
      <c r="K192" s="2">
        <f t="shared" si="77"/>
        <v>12755.449307415187</v>
      </c>
      <c r="L192" s="2">
        <f t="shared" si="86"/>
        <v>12755.449307415187</v>
      </c>
      <c r="M192" s="28"/>
    </row>
    <row r="193" spans="1:13" x14ac:dyDescent="0.3">
      <c r="A193" s="2">
        <f t="shared" si="68"/>
        <v>642706.69609609991</v>
      </c>
      <c r="B193" s="23">
        <f t="shared" si="79"/>
        <v>9.8500000000000004E-2</v>
      </c>
      <c r="C193" s="2">
        <f t="shared" si="69"/>
        <v>683068.67661093501</v>
      </c>
      <c r="D193" s="2">
        <f t="shared" si="70"/>
        <v>40361.980514835101</v>
      </c>
      <c r="E193" s="2">
        <f t="shared" si="71"/>
        <v>1590.9304472484419</v>
      </c>
      <c r="F193" s="2">
        <f t="shared" si="72"/>
        <v>59</v>
      </c>
      <c r="G193" s="24">
        <f t="shared" si="73"/>
        <v>5847.9119247003382</v>
      </c>
      <c r="H193" s="25">
        <f t="shared" si="74"/>
        <v>32864.138142886317</v>
      </c>
      <c r="I193" s="2">
        <f t="shared" si="75"/>
        <v>6835.740733720354</v>
      </c>
      <c r="J193" s="2">
        <f t="shared" si="76"/>
        <v>26028.397409165962</v>
      </c>
      <c r="K193" s="2">
        <f t="shared" si="77"/>
        <v>13014.198704582981</v>
      </c>
      <c r="L193" s="2">
        <f t="shared" si="86"/>
        <v>13014.198704582981</v>
      </c>
      <c r="M193" s="28"/>
    </row>
    <row r="194" spans="1:13" x14ac:dyDescent="0.3">
      <c r="A194" s="2">
        <f t="shared" si="68"/>
        <v>655720.8948006829</v>
      </c>
      <c r="B194" s="23">
        <f t="shared" si="79"/>
        <v>9.8500000000000004E-2</v>
      </c>
      <c r="C194" s="2">
        <f t="shared" si="69"/>
        <v>696900.16699416575</v>
      </c>
      <c r="D194" s="2">
        <f t="shared" si="70"/>
        <v>41179.272193482844</v>
      </c>
      <c r="E194" s="2">
        <f t="shared" si="71"/>
        <v>1623.1452741538183</v>
      </c>
      <c r="F194" s="2">
        <f t="shared" si="72"/>
        <v>59</v>
      </c>
      <c r="G194" s="24">
        <f t="shared" si="73"/>
        <v>5966.3265736486519</v>
      </c>
      <c r="H194" s="25">
        <f t="shared" si="74"/>
        <v>33530.800345680378</v>
      </c>
      <c r="I194" s="2">
        <f t="shared" si="75"/>
        <v>6974.4064719015196</v>
      </c>
      <c r="J194" s="2">
        <f t="shared" si="76"/>
        <v>26556.393873778859</v>
      </c>
      <c r="K194" s="2">
        <f t="shared" si="77"/>
        <v>13278.19693688943</v>
      </c>
      <c r="L194" s="2">
        <f t="shared" si="86"/>
        <v>13278.19693688943</v>
      </c>
      <c r="M194" s="27">
        <f t="shared" ref="M194" si="101">(A194+A195+A196)/3</f>
        <v>669088.87625162827</v>
      </c>
    </row>
    <row r="195" spans="1:13" x14ac:dyDescent="0.3">
      <c r="A195" s="2">
        <f t="shared" ref="A195:A201" si="102">A194+L194</f>
        <v>668999.09173757234</v>
      </c>
      <c r="B195" s="23">
        <f t="shared" si="79"/>
        <v>9.8500000000000004E-2</v>
      </c>
      <c r="C195" s="2">
        <f t="shared" ref="C195:C201" si="103">A195*1.0628</f>
        <v>711012.23469869187</v>
      </c>
      <c r="D195" s="2">
        <f t="shared" ref="D195:D201" si="104">C195-A195</f>
        <v>42013.142961119534</v>
      </c>
      <c r="E195" s="2">
        <f t="shared" ref="E195:E201" si="105">((A195+C195)*0.0012)</f>
        <v>1656.0135917235168</v>
      </c>
      <c r="F195" s="2">
        <f t="shared" ref="F195:F258" si="106">(25*2)*1.18</f>
        <v>59</v>
      </c>
      <c r="G195" s="24">
        <f t="shared" ref="G195:G258" si="107">A195 * (17/30) * 8.5 * (B195 / 365 * 7)</f>
        <v>6087.1433111704664</v>
      </c>
      <c r="H195" s="25">
        <f t="shared" ref="H195:H258" si="108">D195-E195-F195-G195</f>
        <v>34210.98605822555</v>
      </c>
      <c r="I195" s="2">
        <f t="shared" ref="I195:I201" si="109">(H195*0.2)*1.04</f>
        <v>7115.8851001109151</v>
      </c>
      <c r="J195" s="2">
        <f t="shared" ref="J195:J201" si="110">H195-I195</f>
        <v>27095.100958114635</v>
      </c>
      <c r="K195" s="2">
        <f t="shared" ref="K195:K201" si="111">J195*0.5</f>
        <v>13547.550479057318</v>
      </c>
      <c r="L195" s="2">
        <f t="shared" si="86"/>
        <v>13547.550479057318</v>
      </c>
      <c r="M195" s="28"/>
    </row>
    <row r="196" spans="1:13" x14ac:dyDescent="0.3">
      <c r="A196" s="2">
        <f t="shared" si="102"/>
        <v>682546.6422166297</v>
      </c>
      <c r="B196" s="23">
        <f t="shared" ref="B196:B259" si="112">B195</f>
        <v>9.8500000000000004E-2</v>
      </c>
      <c r="C196" s="2">
        <f t="shared" si="103"/>
        <v>725410.57134783408</v>
      </c>
      <c r="D196" s="2">
        <f t="shared" si="104"/>
        <v>42863.929131204379</v>
      </c>
      <c r="E196" s="2">
        <f t="shared" si="105"/>
        <v>1689.5486562773565</v>
      </c>
      <c r="F196" s="2">
        <f t="shared" si="106"/>
        <v>59</v>
      </c>
      <c r="G196" s="24">
        <f t="shared" si="107"/>
        <v>6210.4108645944207</v>
      </c>
      <c r="H196" s="25">
        <f t="shared" si="108"/>
        <v>34904.969610332599</v>
      </c>
      <c r="I196" s="2">
        <f t="shared" si="109"/>
        <v>7260.233678949181</v>
      </c>
      <c r="J196" s="2">
        <f t="shared" si="110"/>
        <v>27644.735931383417</v>
      </c>
      <c r="K196" s="2">
        <f t="shared" si="111"/>
        <v>13822.367965691708</v>
      </c>
      <c r="L196" s="2">
        <f t="shared" si="86"/>
        <v>13822.367965691708</v>
      </c>
      <c r="M196" s="28"/>
    </row>
    <row r="197" spans="1:13" x14ac:dyDescent="0.3">
      <c r="A197" s="2">
        <f t="shared" si="102"/>
        <v>696369.01018232142</v>
      </c>
      <c r="B197" s="23">
        <f t="shared" si="112"/>
        <v>9.8500000000000004E-2</v>
      </c>
      <c r="C197" s="2">
        <f t="shared" si="103"/>
        <v>740100.98402177123</v>
      </c>
      <c r="D197" s="2">
        <f t="shared" si="104"/>
        <v>43731.973839449813</v>
      </c>
      <c r="E197" s="2">
        <f t="shared" si="105"/>
        <v>1723.7639930449111</v>
      </c>
      <c r="F197" s="2">
        <f t="shared" si="106"/>
        <v>59</v>
      </c>
      <c r="G197" s="24">
        <f t="shared" si="107"/>
        <v>6336.1789497025293</v>
      </c>
      <c r="H197" s="25">
        <f t="shared" si="108"/>
        <v>35613.030896702374</v>
      </c>
      <c r="I197" s="2">
        <f t="shared" si="109"/>
        <v>7407.5104265140944</v>
      </c>
      <c r="J197" s="2">
        <f t="shared" si="110"/>
        <v>28205.520470188279</v>
      </c>
      <c r="K197" s="2">
        <f t="shared" si="111"/>
        <v>14102.76023509414</v>
      </c>
      <c r="L197" s="2">
        <f t="shared" si="86"/>
        <v>14102.76023509414</v>
      </c>
      <c r="M197" s="27">
        <f t="shared" ref="M197" si="113">(A197+A198+A199)/3</f>
        <v>710567.13046370598</v>
      </c>
    </row>
    <row r="198" spans="1:13" x14ac:dyDescent="0.3">
      <c r="A198" s="2">
        <f t="shared" si="102"/>
        <v>710471.77041741554</v>
      </c>
      <c r="B198" s="23">
        <f t="shared" si="112"/>
        <v>9.8500000000000004E-2</v>
      </c>
      <c r="C198" s="2">
        <f t="shared" si="103"/>
        <v>755089.39759962924</v>
      </c>
      <c r="D198" s="2">
        <f t="shared" si="104"/>
        <v>44617.627182213706</v>
      </c>
      <c r="E198" s="2">
        <f t="shared" si="105"/>
        <v>1758.6734016204534</v>
      </c>
      <c r="F198" s="2">
        <f t="shared" si="106"/>
        <v>59</v>
      </c>
      <c r="G198" s="24">
        <f t="shared" si="107"/>
        <v>6464.4982907813474</v>
      </c>
      <c r="H198" s="25">
        <f t="shared" si="108"/>
        <v>36335.45548981191</v>
      </c>
      <c r="I198" s="2">
        <f t="shared" si="109"/>
        <v>7557.7747418808776</v>
      </c>
      <c r="J198" s="2">
        <f t="shared" si="110"/>
        <v>28777.68074793103</v>
      </c>
      <c r="K198" s="2">
        <f t="shared" si="111"/>
        <v>14388.840373965515</v>
      </c>
      <c r="L198" s="2">
        <f t="shared" si="86"/>
        <v>14388.840373965515</v>
      </c>
      <c r="M198" s="28"/>
    </row>
    <row r="199" spans="1:13" x14ac:dyDescent="0.3">
      <c r="A199" s="2">
        <f t="shared" si="102"/>
        <v>724860.6107913811</v>
      </c>
      <c r="B199" s="23">
        <f t="shared" si="112"/>
        <v>9.8500000000000004E-2</v>
      </c>
      <c r="C199" s="2">
        <f t="shared" si="103"/>
        <v>770381.85714907979</v>
      </c>
      <c r="D199" s="2">
        <f t="shared" si="104"/>
        <v>45521.246357698692</v>
      </c>
      <c r="E199" s="2">
        <f t="shared" si="105"/>
        <v>1794.290961528553</v>
      </c>
      <c r="F199" s="2">
        <f t="shared" si="106"/>
        <v>59</v>
      </c>
      <c r="G199" s="24">
        <f t="shared" si="107"/>
        <v>6595.420641079907</v>
      </c>
      <c r="H199" s="25">
        <f t="shared" si="108"/>
        <v>37072.53475509023</v>
      </c>
      <c r="I199" s="2">
        <f t="shared" si="109"/>
        <v>7711.0872290587686</v>
      </c>
      <c r="J199" s="2">
        <f t="shared" si="110"/>
        <v>29361.447526031461</v>
      </c>
      <c r="K199" s="2">
        <f t="shared" si="111"/>
        <v>14680.723763015731</v>
      </c>
      <c r="L199" s="2">
        <f t="shared" si="86"/>
        <v>14680.723763015731</v>
      </c>
      <c r="M199" s="28"/>
    </row>
    <row r="200" spans="1:13" x14ac:dyDescent="0.3">
      <c r="A200" s="2">
        <f t="shared" si="102"/>
        <v>739541.3345543968</v>
      </c>
      <c r="B200" s="23">
        <f t="shared" si="112"/>
        <v>9.8500000000000004E-2</v>
      </c>
      <c r="C200" s="2">
        <f t="shared" si="103"/>
        <v>785984.53036441293</v>
      </c>
      <c r="D200" s="2">
        <f t="shared" si="104"/>
        <v>46443.195810016128</v>
      </c>
      <c r="E200" s="2">
        <f t="shared" si="105"/>
        <v>1830.6310379025717</v>
      </c>
      <c r="F200" s="2">
        <f t="shared" si="106"/>
        <v>59</v>
      </c>
      <c r="G200" s="24">
        <f t="shared" si="107"/>
        <v>6728.9988036826107</v>
      </c>
      <c r="H200" s="25">
        <f t="shared" si="108"/>
        <v>37824.565968430943</v>
      </c>
      <c r="I200" s="2">
        <f t="shared" si="109"/>
        <v>7867.5097214336365</v>
      </c>
      <c r="J200" s="2">
        <f t="shared" si="110"/>
        <v>29957.056246997308</v>
      </c>
      <c r="K200" s="2">
        <f t="shared" si="111"/>
        <v>14978.528123498654</v>
      </c>
      <c r="L200" s="2">
        <f t="shared" si="86"/>
        <v>14978.528123498654</v>
      </c>
      <c r="M200" s="27">
        <f t="shared" ref="M200" si="114">(A200+A201+A202)/3</f>
        <v>754621.1444916263</v>
      </c>
    </row>
    <row r="201" spans="1:13" s="4" customFormat="1" x14ac:dyDescent="0.3">
      <c r="A201" s="2">
        <f t="shared" si="102"/>
        <v>754519.86267789546</v>
      </c>
      <c r="B201" s="23">
        <f t="shared" si="112"/>
        <v>9.8500000000000004E-2</v>
      </c>
      <c r="C201" s="2">
        <f t="shared" si="103"/>
        <v>801903.71005406731</v>
      </c>
      <c r="D201" s="2">
        <f t="shared" si="104"/>
        <v>47383.847376171849</v>
      </c>
      <c r="E201" s="2">
        <f t="shared" si="105"/>
        <v>1867.7082872783553</v>
      </c>
      <c r="F201" s="2">
        <f t="shared" si="106"/>
        <v>59</v>
      </c>
      <c r="G201" s="24">
        <f t="shared" si="107"/>
        <v>6865.2866528055793</v>
      </c>
      <c r="H201" s="25">
        <f t="shared" si="108"/>
        <v>38591.852436087909</v>
      </c>
      <c r="I201" s="2">
        <f t="shared" si="109"/>
        <v>8027.1053067062858</v>
      </c>
      <c r="J201" s="2">
        <f t="shared" si="110"/>
        <v>30564.747129381623</v>
      </c>
      <c r="K201" s="2">
        <f t="shared" si="111"/>
        <v>15282.373564690812</v>
      </c>
      <c r="L201" s="2">
        <f t="shared" si="86"/>
        <v>15282.373564690812</v>
      </c>
      <c r="M201" s="28"/>
    </row>
    <row r="202" spans="1:13" x14ac:dyDescent="0.3">
      <c r="A202" s="2">
        <f t="shared" ref="A202:A255" si="115">A201+L201</f>
        <v>769802.23624258628</v>
      </c>
      <c r="B202" s="23">
        <f t="shared" si="112"/>
        <v>9.8500000000000004E-2</v>
      </c>
      <c r="C202" s="2">
        <f t="shared" ref="C202:C255" si="116">A202*1.0628</f>
        <v>818145.81667862064</v>
      </c>
      <c r="D202" s="2">
        <f t="shared" ref="D202:D255" si="117">C202-A202</f>
        <v>48343.580436034361</v>
      </c>
      <c r="E202" s="2">
        <f t="shared" ref="E202:E255" si="118">((A202+C202)*0.0012)</f>
        <v>1905.5376635054481</v>
      </c>
      <c r="F202" s="2">
        <f t="shared" si="106"/>
        <v>59</v>
      </c>
      <c r="G202" s="24">
        <f t="shared" si="107"/>
        <v>7004.3391555249809</v>
      </c>
      <c r="H202" s="25">
        <f t="shared" si="108"/>
        <v>39374.703617003928</v>
      </c>
      <c r="I202" s="2">
        <f t="shared" ref="I202:I255" si="119">(H202*0.2)*1.04</f>
        <v>8189.9383523368178</v>
      </c>
      <c r="J202" s="2">
        <f t="shared" ref="J202:J255" si="120">H202-I202</f>
        <v>31184.765264667112</v>
      </c>
      <c r="K202" s="2">
        <f t="shared" ref="K202:K255" si="121">J202*0.5</f>
        <v>15592.382632333556</v>
      </c>
      <c r="L202" s="2">
        <f t="shared" ref="L202:L255" si="122">J202-K202</f>
        <v>15592.382632333556</v>
      </c>
      <c r="M202" s="28"/>
    </row>
    <row r="203" spans="1:13" x14ac:dyDescent="0.3">
      <c r="A203" s="2">
        <f t="shared" si="115"/>
        <v>785394.61887491983</v>
      </c>
      <c r="B203" s="23">
        <f t="shared" si="112"/>
        <v>9.8500000000000004E-2</v>
      </c>
      <c r="C203" s="2">
        <f t="shared" si="116"/>
        <v>834717.40094026481</v>
      </c>
      <c r="D203" s="2">
        <f t="shared" si="117"/>
        <v>49322.782065344974</v>
      </c>
      <c r="E203" s="2">
        <f t="shared" si="118"/>
        <v>1944.1344237782214</v>
      </c>
      <c r="F203" s="2">
        <f t="shared" si="106"/>
        <v>59</v>
      </c>
      <c r="G203" s="24">
        <f t="shared" si="107"/>
        <v>7146.2123939461344</v>
      </c>
      <c r="H203" s="25">
        <f t="shared" si="108"/>
        <v>40173.435247620626</v>
      </c>
      <c r="I203" s="2">
        <f t="shared" si="119"/>
        <v>8356.0745315050917</v>
      </c>
      <c r="J203" s="2">
        <f t="shared" si="120"/>
        <v>31817.360716115534</v>
      </c>
      <c r="K203" s="2">
        <f t="shared" si="121"/>
        <v>15908.680358057767</v>
      </c>
      <c r="L203" s="2">
        <f t="shared" si="122"/>
        <v>15908.680358057767</v>
      </c>
      <c r="M203" s="27">
        <f t="shared" ref="M203" si="123">(A203+A204+A205)/3</f>
        <v>801410.87055022863</v>
      </c>
    </row>
    <row r="204" spans="1:13" x14ac:dyDescent="0.3">
      <c r="A204" s="2">
        <f t="shared" si="115"/>
        <v>801303.29923297756</v>
      </c>
      <c r="B204" s="23">
        <f t="shared" si="112"/>
        <v>9.8500000000000004E-2</v>
      </c>
      <c r="C204" s="2">
        <f t="shared" si="116"/>
        <v>851625.14642480854</v>
      </c>
      <c r="D204" s="2">
        <f t="shared" si="117"/>
        <v>50321.847191830981</v>
      </c>
      <c r="E204" s="2">
        <f t="shared" si="118"/>
        <v>1983.514134789343</v>
      </c>
      <c r="F204" s="2">
        <f t="shared" si="106"/>
        <v>59</v>
      </c>
      <c r="G204" s="24">
        <f t="shared" si="107"/>
        <v>7290.9635878223235</v>
      </c>
      <c r="H204" s="25">
        <f t="shared" si="108"/>
        <v>40988.369469219309</v>
      </c>
      <c r="I204" s="2">
        <f t="shared" si="119"/>
        <v>8525.580849597618</v>
      </c>
      <c r="J204" s="2">
        <f t="shared" si="120"/>
        <v>32462.788619621693</v>
      </c>
      <c r="K204" s="2">
        <f t="shared" si="121"/>
        <v>16231.394309810847</v>
      </c>
      <c r="L204" s="2">
        <f t="shared" si="122"/>
        <v>16231.394309810847</v>
      </c>
      <c r="M204" s="28"/>
    </row>
    <row r="205" spans="1:13" x14ac:dyDescent="0.3">
      <c r="A205" s="2">
        <f t="shared" si="115"/>
        <v>817534.69354278839</v>
      </c>
      <c r="B205" s="23">
        <f t="shared" si="112"/>
        <v>9.8500000000000004E-2</v>
      </c>
      <c r="C205" s="2">
        <f t="shared" si="116"/>
        <v>868875.87229727546</v>
      </c>
      <c r="D205" s="2">
        <f t="shared" si="117"/>
        <v>51341.178754487075</v>
      </c>
      <c r="E205" s="2">
        <f t="shared" si="118"/>
        <v>2023.6926790080765</v>
      </c>
      <c r="F205" s="2">
        <f t="shared" si="106"/>
        <v>59</v>
      </c>
      <c r="G205" s="24">
        <f t="shared" si="107"/>
        <v>7438.6511176324429</v>
      </c>
      <c r="H205" s="25">
        <f t="shared" si="108"/>
        <v>41819.834957846557</v>
      </c>
      <c r="I205" s="2">
        <f t="shared" si="119"/>
        <v>8698.5256712320843</v>
      </c>
      <c r="J205" s="2">
        <f t="shared" si="120"/>
        <v>33121.309286614473</v>
      </c>
      <c r="K205" s="2">
        <f t="shared" si="121"/>
        <v>16560.654643307236</v>
      </c>
      <c r="L205" s="2">
        <f t="shared" si="122"/>
        <v>16560.654643307236</v>
      </c>
      <c r="M205" s="28"/>
    </row>
    <row r="206" spans="1:13" x14ac:dyDescent="0.3">
      <c r="A206" s="2">
        <f t="shared" si="115"/>
        <v>834095.34818609559</v>
      </c>
      <c r="B206" s="23">
        <f t="shared" si="112"/>
        <v>9.8500000000000004E-2</v>
      </c>
      <c r="C206" s="2">
        <f t="shared" si="116"/>
        <v>886476.53605218232</v>
      </c>
      <c r="D206" s="2">
        <f t="shared" si="117"/>
        <v>52381.187866086722</v>
      </c>
      <c r="E206" s="2">
        <f t="shared" si="118"/>
        <v>2064.6862610859334</v>
      </c>
      <c r="F206" s="2">
        <f t="shared" si="106"/>
        <v>59</v>
      </c>
      <c r="G206" s="24">
        <f t="shared" si="107"/>
        <v>7589.3345481267779</v>
      </c>
      <c r="H206" s="25">
        <f t="shared" si="108"/>
        <v>42668.167056874016</v>
      </c>
      <c r="I206" s="2">
        <f t="shared" si="119"/>
        <v>8874.9787478297967</v>
      </c>
      <c r="J206" s="2">
        <f t="shared" si="120"/>
        <v>33793.188309044221</v>
      </c>
      <c r="K206" s="2">
        <f t="shared" si="121"/>
        <v>16896.59415452211</v>
      </c>
      <c r="L206" s="2">
        <f t="shared" si="122"/>
        <v>16896.59415452211</v>
      </c>
      <c r="M206" s="27">
        <f t="shared" ref="M206" si="124">(A206+A207+A208)/3</f>
        <v>851106.19373352698</v>
      </c>
    </row>
    <row r="207" spans="1:13" x14ac:dyDescent="0.3">
      <c r="A207" s="2">
        <f t="shared" si="115"/>
        <v>850991.94234061765</v>
      </c>
      <c r="B207" s="23">
        <f t="shared" si="112"/>
        <v>9.8500000000000004E-2</v>
      </c>
      <c r="C207" s="2">
        <f t="shared" si="116"/>
        <v>904434.2363196084</v>
      </c>
      <c r="D207" s="2">
        <f t="shared" si="117"/>
        <v>53442.293978990754</v>
      </c>
      <c r="E207" s="2">
        <f t="shared" si="118"/>
        <v>2106.511414392271</v>
      </c>
      <c r="F207" s="2">
        <f t="shared" si="106"/>
        <v>59</v>
      </c>
      <c r="G207" s="24">
        <f t="shared" si="107"/>
        <v>7743.0746523504267</v>
      </c>
      <c r="H207" s="25">
        <f t="shared" si="108"/>
        <v>43533.707912248057</v>
      </c>
      <c r="I207" s="2">
        <f t="shared" si="119"/>
        <v>9055.0112457475952</v>
      </c>
      <c r="J207" s="2">
        <f t="shared" si="120"/>
        <v>34478.696666500458</v>
      </c>
      <c r="K207" s="2">
        <f t="shared" si="121"/>
        <v>17239.348333250229</v>
      </c>
      <c r="L207" s="2">
        <f t="shared" si="122"/>
        <v>17239.348333250229</v>
      </c>
      <c r="M207" s="28"/>
    </row>
    <row r="208" spans="1:13" x14ac:dyDescent="0.3">
      <c r="A208" s="2">
        <f t="shared" si="115"/>
        <v>868231.29067386792</v>
      </c>
      <c r="B208" s="23">
        <f t="shared" si="112"/>
        <v>9.8500000000000004E-2</v>
      </c>
      <c r="C208" s="2">
        <f t="shared" si="116"/>
        <v>922756.21572818677</v>
      </c>
      <c r="D208" s="2">
        <f t="shared" si="117"/>
        <v>54524.925054318854</v>
      </c>
      <c r="E208" s="2">
        <f t="shared" si="118"/>
        <v>2149.1850076824658</v>
      </c>
      <c r="F208" s="2">
        <f t="shared" si="106"/>
        <v>59</v>
      </c>
      <c r="G208" s="24">
        <f t="shared" si="107"/>
        <v>7899.9334361540468</v>
      </c>
      <c r="H208" s="25">
        <f t="shared" si="108"/>
        <v>44416.806610482345</v>
      </c>
      <c r="I208" s="2">
        <f t="shared" si="119"/>
        <v>9238.6957749803278</v>
      </c>
      <c r="J208" s="2">
        <f t="shared" si="120"/>
        <v>35178.110835502019</v>
      </c>
      <c r="K208" s="2">
        <f t="shared" si="121"/>
        <v>17589.055417751009</v>
      </c>
      <c r="L208" s="2">
        <f t="shared" si="122"/>
        <v>17589.055417751009</v>
      </c>
      <c r="M208" s="28"/>
    </row>
    <row r="209" spans="1:13" x14ac:dyDescent="0.3">
      <c r="A209" s="2">
        <f t="shared" si="115"/>
        <v>885820.34609161888</v>
      </c>
      <c r="B209" s="23">
        <f t="shared" si="112"/>
        <v>9.8500000000000004E-2</v>
      </c>
      <c r="C209" s="2">
        <f t="shared" si="116"/>
        <v>941449.86382617254</v>
      </c>
      <c r="D209" s="2">
        <f t="shared" si="117"/>
        <v>55629.517734553665</v>
      </c>
      <c r="E209" s="2">
        <f t="shared" si="118"/>
        <v>2192.7242519013494</v>
      </c>
      <c r="F209" s="2">
        <f t="shared" si="106"/>
        <v>59</v>
      </c>
      <c r="G209" s="24">
        <f t="shared" si="107"/>
        <v>8059.9741632018031</v>
      </c>
      <c r="H209" s="25">
        <f t="shared" si="108"/>
        <v>45317.819319450507</v>
      </c>
      <c r="I209" s="2">
        <f t="shared" si="119"/>
        <v>9426.1064184457064</v>
      </c>
      <c r="J209" s="2">
        <f t="shared" si="120"/>
        <v>35891.712901004801</v>
      </c>
      <c r="K209" s="2">
        <f t="shared" si="121"/>
        <v>17945.856450502401</v>
      </c>
      <c r="L209" s="2">
        <f t="shared" si="122"/>
        <v>17945.856450502401</v>
      </c>
      <c r="M209" s="27">
        <f t="shared" ref="M209" si="125">(A209+A210+A211)/3</f>
        <v>903887.54883698234</v>
      </c>
    </row>
    <row r="210" spans="1:13" x14ac:dyDescent="0.3">
      <c r="A210" s="2">
        <f t="shared" si="115"/>
        <v>903766.20254212129</v>
      </c>
      <c r="B210" s="23">
        <f t="shared" si="112"/>
        <v>9.8500000000000004E-2</v>
      </c>
      <c r="C210" s="2">
        <f t="shared" si="116"/>
        <v>960522.72006176645</v>
      </c>
      <c r="D210" s="2">
        <f t="shared" si="117"/>
        <v>56756.51751964516</v>
      </c>
      <c r="E210" s="2">
        <f t="shared" si="118"/>
        <v>2237.1467071246652</v>
      </c>
      <c r="F210" s="2">
        <f t="shared" si="106"/>
        <v>59</v>
      </c>
      <c r="G210" s="24">
        <f t="shared" si="107"/>
        <v>8223.2613804866251</v>
      </c>
      <c r="H210" s="25">
        <f t="shared" si="108"/>
        <v>46237.109432033867</v>
      </c>
      <c r="I210" s="2">
        <f t="shared" si="119"/>
        <v>9617.3187618630454</v>
      </c>
      <c r="J210" s="2">
        <f t="shared" si="120"/>
        <v>36619.79067017082</v>
      </c>
      <c r="K210" s="2">
        <f t="shared" si="121"/>
        <v>18309.89533508541</v>
      </c>
      <c r="L210" s="2">
        <f t="shared" si="122"/>
        <v>18309.89533508541</v>
      </c>
      <c r="M210" s="28"/>
    </row>
    <row r="211" spans="1:13" x14ac:dyDescent="0.3">
      <c r="A211" s="2">
        <f t="shared" si="115"/>
        <v>922076.09787720675</v>
      </c>
      <c r="B211" s="23">
        <f t="shared" si="112"/>
        <v>9.8500000000000004E-2</v>
      </c>
      <c r="C211" s="2">
        <f t="shared" si="116"/>
        <v>979982.47682389535</v>
      </c>
      <c r="D211" s="2">
        <f t="shared" si="117"/>
        <v>57906.378946688608</v>
      </c>
      <c r="E211" s="2">
        <f t="shared" si="118"/>
        <v>2282.4702896413223</v>
      </c>
      <c r="F211" s="2">
        <f t="shared" si="106"/>
        <v>59</v>
      </c>
      <c r="G211" s="24">
        <f t="shared" si="107"/>
        <v>8389.8609443630376</v>
      </c>
      <c r="H211" s="25">
        <f t="shared" si="108"/>
        <v>47175.047712684245</v>
      </c>
      <c r="I211" s="2">
        <f t="shared" si="119"/>
        <v>9812.4099242383236</v>
      </c>
      <c r="J211" s="2">
        <f t="shared" si="120"/>
        <v>37362.637788445922</v>
      </c>
      <c r="K211" s="2">
        <f t="shared" si="121"/>
        <v>18681.318894222961</v>
      </c>
      <c r="L211" s="2">
        <f t="shared" si="122"/>
        <v>18681.318894222961</v>
      </c>
      <c r="M211" s="28"/>
    </row>
    <row r="212" spans="1:13" x14ac:dyDescent="0.3">
      <c r="A212" s="2">
        <f t="shared" si="115"/>
        <v>940757.41677142971</v>
      </c>
      <c r="B212" s="23">
        <f t="shared" si="112"/>
        <v>9.8500000000000004E-2</v>
      </c>
      <c r="C212" s="2">
        <f t="shared" si="116"/>
        <v>999836.98254467547</v>
      </c>
      <c r="D212" s="2">
        <f t="shared" si="117"/>
        <v>59079.565773245762</v>
      </c>
      <c r="E212" s="2">
        <f t="shared" si="118"/>
        <v>2328.713279179326</v>
      </c>
      <c r="F212" s="2">
        <f t="shared" si="106"/>
        <v>59</v>
      </c>
      <c r="G212" s="24">
        <f t="shared" si="107"/>
        <v>8559.8400471080986</v>
      </c>
      <c r="H212" s="25">
        <f t="shared" si="108"/>
        <v>48132.012446958339</v>
      </c>
      <c r="I212" s="2">
        <f t="shared" si="119"/>
        <v>10011.458588967336</v>
      </c>
      <c r="J212" s="2">
        <f t="shared" si="120"/>
        <v>38120.553857991006</v>
      </c>
      <c r="K212" s="2">
        <f t="shared" si="121"/>
        <v>19060.276928995503</v>
      </c>
      <c r="L212" s="2">
        <f t="shared" si="122"/>
        <v>19060.276928995503</v>
      </c>
      <c r="M212" s="27">
        <f t="shared" ref="M212" si="126">(A212+A213+A214)/3</f>
        <v>959946.57548384613</v>
      </c>
    </row>
    <row r="213" spans="1:13" x14ac:dyDescent="0.3">
      <c r="A213" s="2">
        <f t="shared" si="115"/>
        <v>959817.69370042521</v>
      </c>
      <c r="B213" s="23">
        <f t="shared" si="112"/>
        <v>9.8500000000000004E-2</v>
      </c>
      <c r="C213" s="2">
        <f t="shared" si="116"/>
        <v>1020094.2448648119</v>
      </c>
      <c r="D213" s="2">
        <f t="shared" si="117"/>
        <v>60276.551164386678</v>
      </c>
      <c r="E213" s="2">
        <f t="shared" si="118"/>
        <v>2375.8943262782841</v>
      </c>
      <c r="F213" s="2">
        <f t="shared" si="106"/>
        <v>59</v>
      </c>
      <c r="G213" s="24">
        <f t="shared" si="107"/>
        <v>8733.267244021099</v>
      </c>
      <c r="H213" s="25">
        <f t="shared" si="108"/>
        <v>49108.38959408729</v>
      </c>
      <c r="I213" s="2">
        <f t="shared" si="119"/>
        <v>10214.545035570158</v>
      </c>
      <c r="J213" s="2">
        <f t="shared" si="120"/>
        <v>38893.844558517128</v>
      </c>
      <c r="K213" s="2">
        <f t="shared" si="121"/>
        <v>19446.922279258564</v>
      </c>
      <c r="L213" s="2">
        <f t="shared" si="122"/>
        <v>19446.922279258564</v>
      </c>
      <c r="M213" s="28"/>
    </row>
    <row r="214" spans="1:13" x14ac:dyDescent="0.3">
      <c r="A214" s="2">
        <f t="shared" si="115"/>
        <v>979264.61597968382</v>
      </c>
      <c r="B214" s="23">
        <f t="shared" si="112"/>
        <v>9.8500000000000004E-2</v>
      </c>
      <c r="C214" s="2">
        <f t="shared" si="116"/>
        <v>1040762.4338632079</v>
      </c>
      <c r="D214" s="2">
        <f t="shared" si="117"/>
        <v>61497.817883524112</v>
      </c>
      <c r="E214" s="2">
        <f t="shared" si="118"/>
        <v>2424.0324598114698</v>
      </c>
      <c r="F214" s="2">
        <f t="shared" si="106"/>
        <v>59</v>
      </c>
      <c r="G214" s="24">
        <f t="shared" si="107"/>
        <v>8910.2124810730456</v>
      </c>
      <c r="H214" s="25">
        <f t="shared" si="108"/>
        <v>50104.572942639599</v>
      </c>
      <c r="I214" s="2">
        <f t="shared" si="119"/>
        <v>10421.751172069038</v>
      </c>
      <c r="J214" s="2">
        <f t="shared" si="120"/>
        <v>39682.821770570561</v>
      </c>
      <c r="K214" s="2">
        <f t="shared" si="121"/>
        <v>19841.410885285281</v>
      </c>
      <c r="L214" s="2">
        <f t="shared" si="122"/>
        <v>19841.410885285281</v>
      </c>
      <c r="M214" s="28"/>
    </row>
    <row r="215" spans="1:13" x14ac:dyDescent="0.3">
      <c r="A215" s="2">
        <f t="shared" si="115"/>
        <v>999106.02686496906</v>
      </c>
      <c r="B215" s="23">
        <f t="shared" si="112"/>
        <v>9.8500000000000004E-2</v>
      </c>
      <c r="C215" s="2">
        <f t="shared" si="116"/>
        <v>1061849.8853520891</v>
      </c>
      <c r="D215" s="2">
        <f t="shared" si="117"/>
        <v>62743.858487120015</v>
      </c>
      <c r="E215" s="2">
        <f t="shared" si="118"/>
        <v>2473.1470946604695</v>
      </c>
      <c r="F215" s="2">
        <f t="shared" si="106"/>
        <v>59</v>
      </c>
      <c r="G215" s="24">
        <f t="shared" si="107"/>
        <v>9090.7471231169638</v>
      </c>
      <c r="H215" s="25">
        <f t="shared" si="108"/>
        <v>51120.964269342585</v>
      </c>
      <c r="I215" s="2">
        <f t="shared" si="119"/>
        <v>10633.160568023259</v>
      </c>
      <c r="J215" s="2">
        <f t="shared" si="120"/>
        <v>40487.803701319324</v>
      </c>
      <c r="K215" s="2">
        <f t="shared" si="121"/>
        <v>20243.901850659662</v>
      </c>
      <c r="L215" s="2">
        <f t="shared" si="122"/>
        <v>20243.901850659662</v>
      </c>
      <c r="M215" s="27">
        <f t="shared" ref="M215" si="127">(A215+A216+A217)/3</f>
        <v>1019486.8139342241</v>
      </c>
    </row>
    <row r="216" spans="1:13" x14ac:dyDescent="0.3">
      <c r="A216" s="2">
        <f t="shared" si="115"/>
        <v>1019349.9287156287</v>
      </c>
      <c r="B216" s="23">
        <f t="shared" si="112"/>
        <v>9.8500000000000004E-2</v>
      </c>
      <c r="C216" s="2">
        <f t="shared" si="116"/>
        <v>1083365.1042389702</v>
      </c>
      <c r="D216" s="2">
        <f t="shared" si="117"/>
        <v>64015.175523341517</v>
      </c>
      <c r="E216" s="2">
        <f t="shared" si="118"/>
        <v>2523.2580395455184</v>
      </c>
      <c r="F216" s="2">
        <f t="shared" si="106"/>
        <v>59</v>
      </c>
      <c r="G216" s="24">
        <f t="shared" si="107"/>
        <v>9274.9439826705075</v>
      </c>
      <c r="H216" s="25">
        <f t="shared" si="108"/>
        <v>52157.973501125496</v>
      </c>
      <c r="I216" s="2">
        <f t="shared" si="119"/>
        <v>10848.858488234104</v>
      </c>
      <c r="J216" s="2">
        <f t="shared" si="120"/>
        <v>41309.115012891394</v>
      </c>
      <c r="K216" s="2">
        <f t="shared" si="121"/>
        <v>20654.557506445697</v>
      </c>
      <c r="L216" s="2">
        <f t="shared" si="122"/>
        <v>20654.557506445697</v>
      </c>
      <c r="M216" s="28"/>
    </row>
    <row r="217" spans="1:13" x14ac:dyDescent="0.3">
      <c r="A217" s="2">
        <f t="shared" si="115"/>
        <v>1040004.4862220744</v>
      </c>
      <c r="B217" s="23">
        <f t="shared" si="112"/>
        <v>9.8500000000000004E-2</v>
      </c>
      <c r="C217" s="2">
        <f t="shared" si="116"/>
        <v>1105316.7679568205</v>
      </c>
      <c r="D217" s="2">
        <f t="shared" si="117"/>
        <v>65312.281734746182</v>
      </c>
      <c r="E217" s="2">
        <f t="shared" si="118"/>
        <v>2574.3855050146735</v>
      </c>
      <c r="F217" s="2">
        <f t="shared" si="106"/>
        <v>59</v>
      </c>
      <c r="G217" s="24">
        <f t="shared" si="107"/>
        <v>9462.8773492824075</v>
      </c>
      <c r="H217" s="25">
        <f t="shared" si="108"/>
        <v>53216.018880449104</v>
      </c>
      <c r="I217" s="2">
        <f t="shared" si="119"/>
        <v>11068.931927133415</v>
      </c>
      <c r="J217" s="2">
        <f t="shared" si="120"/>
        <v>42147.086953315687</v>
      </c>
      <c r="K217" s="2">
        <f t="shared" si="121"/>
        <v>21073.543476657844</v>
      </c>
      <c r="L217" s="2">
        <f t="shared" si="122"/>
        <v>21073.543476657844</v>
      </c>
      <c r="M217" s="28"/>
    </row>
    <row r="218" spans="1:13" hidden="1" x14ac:dyDescent="0.3">
      <c r="A218" s="2">
        <f t="shared" si="115"/>
        <v>1061078.0296987323</v>
      </c>
      <c r="B218" s="23">
        <f t="shared" si="112"/>
        <v>9.8500000000000004E-2</v>
      </c>
      <c r="C218" s="2">
        <f t="shared" si="116"/>
        <v>1127713.7299638127</v>
      </c>
      <c r="D218" s="2">
        <f t="shared" si="117"/>
        <v>66635.700265080435</v>
      </c>
      <c r="E218" s="2">
        <f t="shared" si="118"/>
        <v>2626.5501115950542</v>
      </c>
      <c r="F218" s="2">
        <f t="shared" si="106"/>
        <v>59</v>
      </c>
      <c r="G218" s="24">
        <f t="shared" si="107"/>
        <v>9654.6230194946456</v>
      </c>
      <c r="H218" s="25">
        <f t="shared" si="108"/>
        <v>54295.527133990734</v>
      </c>
      <c r="I218" s="2">
        <f t="shared" si="119"/>
        <v>11293.469643870074</v>
      </c>
      <c r="J218" s="2">
        <f t="shared" si="120"/>
        <v>43002.057490120656</v>
      </c>
      <c r="K218" s="2">
        <f t="shared" si="121"/>
        <v>21501.028745060328</v>
      </c>
      <c r="L218" s="2">
        <f t="shared" si="122"/>
        <v>21501.028745060328</v>
      </c>
      <c r="M218" s="27">
        <f t="shared" ref="M218" si="128">(A218+A219+A220)/3</f>
        <v>1082724.4441032128</v>
      </c>
    </row>
    <row r="219" spans="1:13" hidden="1" x14ac:dyDescent="0.3">
      <c r="A219" s="2">
        <f t="shared" si="115"/>
        <v>1082579.0584437926</v>
      </c>
      <c r="B219" s="23">
        <f t="shared" si="112"/>
        <v>9.8500000000000004E-2</v>
      </c>
      <c r="C219" s="2">
        <f t="shared" si="116"/>
        <v>1150565.0233140627</v>
      </c>
      <c r="D219" s="2">
        <f t="shared" si="117"/>
        <v>67985.964870270109</v>
      </c>
      <c r="E219" s="2">
        <f t="shared" si="118"/>
        <v>2679.7728981094265</v>
      </c>
      <c r="F219" s="2">
        <f t="shared" si="106"/>
        <v>59</v>
      </c>
      <c r="G219" s="24">
        <f t="shared" si="107"/>
        <v>9850.2583274124008</v>
      </c>
      <c r="H219" s="25">
        <f t="shared" si="108"/>
        <v>55396.933644748278</v>
      </c>
      <c r="I219" s="2">
        <f t="shared" si="119"/>
        <v>11522.562198107642</v>
      </c>
      <c r="J219" s="2">
        <f t="shared" si="120"/>
        <v>43874.371446640638</v>
      </c>
      <c r="K219" s="2">
        <f t="shared" si="121"/>
        <v>21937.185723320319</v>
      </c>
      <c r="L219" s="2">
        <f t="shared" si="122"/>
        <v>21937.185723320319</v>
      </c>
      <c r="M219" s="28"/>
    </row>
    <row r="220" spans="1:13" hidden="1" x14ac:dyDescent="0.3">
      <c r="A220" s="2">
        <f t="shared" si="115"/>
        <v>1104516.244167113</v>
      </c>
      <c r="B220" s="23">
        <f t="shared" si="112"/>
        <v>9.8500000000000004E-2</v>
      </c>
      <c r="C220" s="2">
        <f t="shared" si="116"/>
        <v>1173879.8643008077</v>
      </c>
      <c r="D220" s="2">
        <f t="shared" si="117"/>
        <v>69363.620133694727</v>
      </c>
      <c r="E220" s="2">
        <f t="shared" si="118"/>
        <v>2734.0753301615046</v>
      </c>
      <c r="F220" s="2">
        <f t="shared" si="106"/>
        <v>59</v>
      </c>
      <c r="G220" s="24">
        <f t="shared" si="107"/>
        <v>10049.862175894148</v>
      </c>
      <c r="H220" s="25">
        <f t="shared" si="108"/>
        <v>56520.682627639078</v>
      </c>
      <c r="I220" s="2">
        <f t="shared" si="119"/>
        <v>11756.30198654893</v>
      </c>
      <c r="J220" s="2">
        <f t="shared" si="120"/>
        <v>44764.380641090145</v>
      </c>
      <c r="K220" s="2">
        <f t="shared" si="121"/>
        <v>22382.190320545073</v>
      </c>
      <c r="L220" s="2">
        <f t="shared" si="122"/>
        <v>22382.190320545073</v>
      </c>
      <c r="M220" s="28"/>
    </row>
    <row r="221" spans="1:13" hidden="1" x14ac:dyDescent="0.3">
      <c r="A221" s="2">
        <f t="shared" si="115"/>
        <v>1126898.4344876581</v>
      </c>
      <c r="B221" s="23">
        <f t="shared" si="112"/>
        <v>9.8500000000000004E-2</v>
      </c>
      <c r="C221" s="2">
        <f t="shared" si="116"/>
        <v>1197667.656173483</v>
      </c>
      <c r="D221" s="2">
        <f t="shared" si="117"/>
        <v>70769.221685824916</v>
      </c>
      <c r="E221" s="2">
        <f t="shared" si="118"/>
        <v>2789.479308793369</v>
      </c>
      <c r="F221" s="2">
        <f t="shared" si="106"/>
        <v>59</v>
      </c>
      <c r="G221" s="24">
        <f t="shared" si="107"/>
        <v>10253.515068374449</v>
      </c>
      <c r="H221" s="25">
        <f t="shared" si="108"/>
        <v>57667.2273086571</v>
      </c>
      <c r="I221" s="2">
        <f t="shared" si="119"/>
        <v>11994.783280200678</v>
      </c>
      <c r="J221" s="2">
        <f t="shared" si="120"/>
        <v>45672.444028456419</v>
      </c>
      <c r="K221" s="2">
        <f t="shared" si="121"/>
        <v>22836.222014228209</v>
      </c>
      <c r="L221" s="2">
        <f t="shared" si="122"/>
        <v>22836.222014228209</v>
      </c>
      <c r="M221" s="27">
        <f t="shared" ref="M221" si="129">(A221+A222+A223)/3</f>
        <v>1149889.0704713555</v>
      </c>
    </row>
    <row r="222" spans="1:13" hidden="1" x14ac:dyDescent="0.3">
      <c r="A222" s="2">
        <f t="shared" si="115"/>
        <v>1149734.6565018862</v>
      </c>
      <c r="B222" s="23">
        <f t="shared" si="112"/>
        <v>9.8500000000000004E-2</v>
      </c>
      <c r="C222" s="2">
        <f t="shared" si="116"/>
        <v>1221937.9929302046</v>
      </c>
      <c r="D222" s="2">
        <f t="shared" si="117"/>
        <v>72203.336428318406</v>
      </c>
      <c r="E222" s="2">
        <f t="shared" si="118"/>
        <v>2846.0071793185089</v>
      </c>
      <c r="F222" s="2">
        <f t="shared" si="106"/>
        <v>59</v>
      </c>
      <c r="G222" s="24">
        <f t="shared" si="107"/>
        <v>10461.299141332265</v>
      </c>
      <c r="H222" s="25">
        <f t="shared" si="108"/>
        <v>58837.030107667633</v>
      </c>
      <c r="I222" s="2">
        <f t="shared" si="119"/>
        <v>12238.102262394868</v>
      </c>
      <c r="J222" s="2">
        <f t="shared" si="120"/>
        <v>46598.927845272767</v>
      </c>
      <c r="K222" s="2">
        <f t="shared" si="121"/>
        <v>23299.463922636383</v>
      </c>
      <c r="L222" s="2">
        <f t="shared" si="122"/>
        <v>23299.463922636383</v>
      </c>
      <c r="M222" s="28"/>
    </row>
    <row r="223" spans="1:13" hidden="1" x14ac:dyDescent="0.3">
      <c r="A223" s="2">
        <f t="shared" si="115"/>
        <v>1173034.1204245226</v>
      </c>
      <c r="B223" s="23">
        <f t="shared" si="112"/>
        <v>9.8500000000000004E-2</v>
      </c>
      <c r="C223" s="2">
        <f t="shared" si="116"/>
        <v>1246700.6631871825</v>
      </c>
      <c r="D223" s="2">
        <f t="shared" si="117"/>
        <v>73666.542762659956</v>
      </c>
      <c r="E223" s="2">
        <f t="shared" si="118"/>
        <v>2903.681740334046</v>
      </c>
      <c r="F223" s="2">
        <f t="shared" si="106"/>
        <v>59</v>
      </c>
      <c r="G223" s="24">
        <f t="shared" si="107"/>
        <v>10673.298197417931</v>
      </c>
      <c r="H223" s="25">
        <f t="shared" si="108"/>
        <v>60030.562824907989</v>
      </c>
      <c r="I223" s="2">
        <f t="shared" si="119"/>
        <v>12486.357067580862</v>
      </c>
      <c r="J223" s="2">
        <f t="shared" si="120"/>
        <v>47544.20575732713</v>
      </c>
      <c r="K223" s="2">
        <f t="shared" si="121"/>
        <v>23772.102878663565</v>
      </c>
      <c r="L223" s="2">
        <f t="shared" si="122"/>
        <v>23772.102878663565</v>
      </c>
      <c r="M223" s="28"/>
    </row>
    <row r="224" spans="1:13" hidden="1" x14ac:dyDescent="0.3">
      <c r="A224" s="2">
        <f t="shared" si="115"/>
        <v>1196806.223303186</v>
      </c>
      <c r="B224" s="23">
        <f t="shared" si="112"/>
        <v>9.8500000000000004E-2</v>
      </c>
      <c r="C224" s="2">
        <f t="shared" si="116"/>
        <v>1271965.654126626</v>
      </c>
      <c r="D224" s="2">
        <f t="shared" si="117"/>
        <v>75159.430823439965</v>
      </c>
      <c r="E224" s="2">
        <f t="shared" si="118"/>
        <v>2962.5262529157744</v>
      </c>
      <c r="F224" s="2">
        <f t="shared" si="106"/>
        <v>59</v>
      </c>
      <c r="G224" s="24">
        <f t="shared" si="107"/>
        <v>10889.5977392521</v>
      </c>
      <c r="H224" s="25">
        <f t="shared" si="108"/>
        <v>61248.306831272086</v>
      </c>
      <c r="I224" s="2">
        <f t="shared" si="119"/>
        <v>12739.647820904596</v>
      </c>
      <c r="J224" s="2">
        <f t="shared" si="120"/>
        <v>48508.65901036749</v>
      </c>
      <c r="K224" s="2">
        <f t="shared" si="121"/>
        <v>24254.329505183745</v>
      </c>
      <c r="L224" s="2">
        <f t="shared" si="122"/>
        <v>24254.329505183745</v>
      </c>
      <c r="M224" s="27">
        <f t="shared" ref="M224" si="130">(A224+A225+A226)/3</f>
        <v>1221224.5557372859</v>
      </c>
    </row>
    <row r="225" spans="1:13" hidden="1" x14ac:dyDescent="0.3">
      <c r="A225" s="2">
        <f t="shared" si="115"/>
        <v>1221060.5528083697</v>
      </c>
      <c r="B225" s="23">
        <f t="shared" si="112"/>
        <v>9.8500000000000004E-2</v>
      </c>
      <c r="C225" s="2">
        <f t="shared" si="116"/>
        <v>1297743.1555247353</v>
      </c>
      <c r="D225" s="2">
        <f t="shared" si="117"/>
        <v>76682.602716365596</v>
      </c>
      <c r="E225" s="2">
        <f t="shared" si="118"/>
        <v>3022.5644499997256</v>
      </c>
      <c r="F225" s="2">
        <f t="shared" si="106"/>
        <v>59</v>
      </c>
      <c r="G225" s="24">
        <f t="shared" si="107"/>
        <v>11110.285003910329</v>
      </c>
      <c r="H225" s="25">
        <f t="shared" si="108"/>
        <v>62490.753262455539</v>
      </c>
      <c r="I225" s="2">
        <f t="shared" si="119"/>
        <v>12998.076678590754</v>
      </c>
      <c r="J225" s="2">
        <f t="shared" si="120"/>
        <v>49492.676583864784</v>
      </c>
      <c r="K225" s="2">
        <f t="shared" si="121"/>
        <v>24746.338291932392</v>
      </c>
      <c r="L225" s="2">
        <f t="shared" si="122"/>
        <v>24746.338291932392</v>
      </c>
      <c r="M225" s="28"/>
    </row>
    <row r="226" spans="1:13" hidden="1" x14ac:dyDescent="0.3">
      <c r="A226" s="2">
        <f t="shared" si="115"/>
        <v>1245806.8911003021</v>
      </c>
      <c r="B226" s="23">
        <f t="shared" si="112"/>
        <v>9.8500000000000004E-2</v>
      </c>
      <c r="C226" s="2">
        <f t="shared" si="116"/>
        <v>1324043.5638614011</v>
      </c>
      <c r="D226" s="2">
        <f t="shared" si="117"/>
        <v>78236.672761098947</v>
      </c>
      <c r="E226" s="2">
        <f t="shared" si="118"/>
        <v>3083.8205459540436</v>
      </c>
      <c r="F226" s="2">
        <f t="shared" si="106"/>
        <v>59</v>
      </c>
      <c r="G226" s="24">
        <f t="shared" si="107"/>
        <v>11335.44899810718</v>
      </c>
      <c r="H226" s="25">
        <f t="shared" si="108"/>
        <v>63758.403217037718</v>
      </c>
      <c r="I226" s="2">
        <f t="shared" si="119"/>
        <v>13261.747869143846</v>
      </c>
      <c r="J226" s="2">
        <f t="shared" si="120"/>
        <v>50496.655347893873</v>
      </c>
      <c r="K226" s="2">
        <f t="shared" si="121"/>
        <v>25248.327673946937</v>
      </c>
      <c r="L226" s="2">
        <f t="shared" si="122"/>
        <v>25248.327673946937</v>
      </c>
      <c r="M226" s="28"/>
    </row>
    <row r="227" spans="1:13" hidden="1" x14ac:dyDescent="0.3">
      <c r="A227" s="2">
        <f t="shared" si="115"/>
        <v>1271055.2187742491</v>
      </c>
      <c r="B227" s="23">
        <f t="shared" si="112"/>
        <v>9.8500000000000004E-2</v>
      </c>
      <c r="C227" s="2">
        <f t="shared" si="116"/>
        <v>1350877.4865132719</v>
      </c>
      <c r="D227" s="2">
        <f t="shared" si="117"/>
        <v>79822.267739022849</v>
      </c>
      <c r="E227" s="2">
        <f t="shared" si="118"/>
        <v>3146.3192463450246</v>
      </c>
      <c r="F227" s="2">
        <f t="shared" si="106"/>
        <v>59</v>
      </c>
      <c r="G227" s="24">
        <f t="shared" si="107"/>
        <v>11565.18053409407</v>
      </c>
      <c r="H227" s="25">
        <f t="shared" si="108"/>
        <v>65051.767958583754</v>
      </c>
      <c r="I227" s="2">
        <f t="shared" si="119"/>
        <v>13530.767735385423</v>
      </c>
      <c r="J227" s="2">
        <f t="shared" si="120"/>
        <v>51521.000223198331</v>
      </c>
      <c r="K227" s="2">
        <f t="shared" si="121"/>
        <v>25760.500111599165</v>
      </c>
      <c r="L227" s="2">
        <f t="shared" si="122"/>
        <v>25760.500111599165</v>
      </c>
      <c r="M227" s="27">
        <f t="shared" ref="M227" si="131">(A227+A228+A229)/3</f>
        <v>1296989.9062393985</v>
      </c>
    </row>
    <row r="228" spans="1:13" hidden="1" x14ac:dyDescent="0.3">
      <c r="A228" s="2">
        <f t="shared" si="115"/>
        <v>1296815.7188858483</v>
      </c>
      <c r="B228" s="23">
        <f t="shared" si="112"/>
        <v>9.8500000000000004E-2</v>
      </c>
      <c r="C228" s="2">
        <f t="shared" si="116"/>
        <v>1378255.7460318794</v>
      </c>
      <c r="D228" s="2">
        <f t="shared" si="117"/>
        <v>81440.027146031149</v>
      </c>
      <c r="E228" s="2">
        <f t="shared" si="118"/>
        <v>3210.0857579012732</v>
      </c>
      <c r="F228" s="2">
        <f t="shared" si="106"/>
        <v>59</v>
      </c>
      <c r="G228" s="24">
        <f t="shared" si="107"/>
        <v>11799.572266285297</v>
      </c>
      <c r="H228" s="25">
        <f t="shared" si="108"/>
        <v>66371.369121844589</v>
      </c>
      <c r="I228" s="2">
        <f t="shared" si="119"/>
        <v>13805.244777343676</v>
      </c>
      <c r="J228" s="2">
        <f t="shared" si="120"/>
        <v>52566.124344500917</v>
      </c>
      <c r="K228" s="2">
        <f t="shared" si="121"/>
        <v>26283.062172250458</v>
      </c>
      <c r="L228" s="2">
        <f t="shared" si="122"/>
        <v>26283.062172250458</v>
      </c>
      <c r="M228" s="28"/>
    </row>
    <row r="229" spans="1:13" hidden="1" x14ac:dyDescent="0.3">
      <c r="A229" s="2">
        <f t="shared" si="115"/>
        <v>1323098.7810580987</v>
      </c>
      <c r="B229" s="23">
        <f t="shared" si="112"/>
        <v>9.8500000000000004E-2</v>
      </c>
      <c r="C229" s="2">
        <f t="shared" si="116"/>
        <v>1406189.3845085471</v>
      </c>
      <c r="D229" s="2">
        <f t="shared" si="117"/>
        <v>83090.603450448485</v>
      </c>
      <c r="E229" s="2">
        <f t="shared" si="118"/>
        <v>3275.1457986799742</v>
      </c>
      <c r="F229" s="2">
        <f t="shared" si="106"/>
        <v>59</v>
      </c>
      <c r="G229" s="24">
        <f t="shared" si="107"/>
        <v>12038.718728627056</v>
      </c>
      <c r="H229" s="25">
        <f t="shared" si="108"/>
        <v>67717.738923141442</v>
      </c>
      <c r="I229" s="2">
        <f t="shared" si="119"/>
        <v>14085.28969601342</v>
      </c>
      <c r="J229" s="2">
        <f t="shared" si="120"/>
        <v>53632.449227128018</v>
      </c>
      <c r="K229" s="2">
        <f t="shared" si="121"/>
        <v>26816.224613564009</v>
      </c>
      <c r="L229" s="2">
        <f t="shared" si="122"/>
        <v>26816.224613564009</v>
      </c>
      <c r="M229" s="28"/>
    </row>
    <row r="230" spans="1:13" hidden="1" x14ac:dyDescent="0.3">
      <c r="A230" s="2">
        <f t="shared" si="115"/>
        <v>1349915.0056716627</v>
      </c>
      <c r="B230" s="23">
        <f t="shared" si="112"/>
        <v>9.8500000000000004E-2</v>
      </c>
      <c r="C230" s="2">
        <f t="shared" si="116"/>
        <v>1434689.6680278431</v>
      </c>
      <c r="D230" s="2">
        <f t="shared" si="117"/>
        <v>84774.662356180372</v>
      </c>
      <c r="E230" s="2">
        <f t="shared" si="118"/>
        <v>3341.5256084394064</v>
      </c>
      <c r="F230" s="2">
        <f t="shared" si="106"/>
        <v>59</v>
      </c>
      <c r="G230" s="24">
        <f t="shared" si="107"/>
        <v>12282.716372724508</v>
      </c>
      <c r="H230" s="25">
        <f t="shared" si="108"/>
        <v>69091.42037501646</v>
      </c>
      <c r="I230" s="2">
        <f t="shared" si="119"/>
        <v>14371.015438003424</v>
      </c>
      <c r="J230" s="2">
        <f t="shared" si="120"/>
        <v>54720.404937013038</v>
      </c>
      <c r="K230" s="2">
        <f t="shared" si="121"/>
        <v>27360.202468506519</v>
      </c>
      <c r="L230" s="2">
        <f t="shared" si="122"/>
        <v>27360.202468506519</v>
      </c>
      <c r="M230" s="27">
        <f t="shared" ref="M230" si="132">(A230+A231+A232)/3</f>
        <v>1377460.2123613586</v>
      </c>
    </row>
    <row r="231" spans="1:13" hidden="1" x14ac:dyDescent="0.3">
      <c r="A231" s="2">
        <f t="shared" si="115"/>
        <v>1377275.2081401693</v>
      </c>
      <c r="B231" s="23">
        <f t="shared" si="112"/>
        <v>9.8500000000000004E-2</v>
      </c>
      <c r="C231" s="2">
        <f t="shared" si="116"/>
        <v>1463768.0912113718</v>
      </c>
      <c r="D231" s="2">
        <f t="shared" si="117"/>
        <v>86492.883071202552</v>
      </c>
      <c r="E231" s="2">
        <f t="shared" si="118"/>
        <v>3409.2519592218491</v>
      </c>
      <c r="F231" s="2">
        <f t="shared" si="106"/>
        <v>59</v>
      </c>
      <c r="G231" s="24">
        <f t="shared" si="107"/>
        <v>12531.663606742233</v>
      </c>
      <c r="H231" s="25">
        <f t="shared" si="108"/>
        <v>70492.96750523847</v>
      </c>
      <c r="I231" s="2">
        <f t="shared" si="119"/>
        <v>14662.537241089603</v>
      </c>
      <c r="J231" s="2">
        <f t="shared" si="120"/>
        <v>55830.430264148868</v>
      </c>
      <c r="K231" s="2">
        <f t="shared" si="121"/>
        <v>27915.215132074434</v>
      </c>
      <c r="L231" s="2">
        <f t="shared" si="122"/>
        <v>27915.215132074434</v>
      </c>
      <c r="M231" s="28"/>
    </row>
    <row r="232" spans="1:13" hidden="1" x14ac:dyDescent="0.3">
      <c r="A232" s="2">
        <f t="shared" si="115"/>
        <v>1405190.4232722437</v>
      </c>
      <c r="B232" s="23">
        <f t="shared" si="112"/>
        <v>9.8500000000000004E-2</v>
      </c>
      <c r="C232" s="2">
        <f t="shared" si="116"/>
        <v>1493436.3818537407</v>
      </c>
      <c r="D232" s="2">
        <f t="shared" si="117"/>
        <v>88245.958581496961</v>
      </c>
      <c r="E232" s="2">
        <f t="shared" si="118"/>
        <v>3478.3521661511809</v>
      </c>
      <c r="F232" s="2">
        <f t="shared" si="106"/>
        <v>59</v>
      </c>
      <c r="G232" s="24">
        <f t="shared" si="107"/>
        <v>12785.660835093848</v>
      </c>
      <c r="H232" s="25">
        <f t="shared" si="108"/>
        <v>71922.945580251937</v>
      </c>
      <c r="I232" s="2">
        <f t="shared" si="119"/>
        <v>14959.972680692405</v>
      </c>
      <c r="J232" s="2">
        <f t="shared" si="120"/>
        <v>56962.972899559536</v>
      </c>
      <c r="K232" s="2">
        <f t="shared" si="121"/>
        <v>28481.486449779768</v>
      </c>
      <c r="L232" s="2">
        <f t="shared" si="122"/>
        <v>28481.486449779768</v>
      </c>
      <c r="M232" s="28"/>
    </row>
    <row r="233" spans="1:13" hidden="1" x14ac:dyDescent="0.3">
      <c r="A233" s="2">
        <f t="shared" si="115"/>
        <v>1433671.9097220234</v>
      </c>
      <c r="B233" s="23">
        <f t="shared" si="112"/>
        <v>9.8500000000000004E-2</v>
      </c>
      <c r="C233" s="2">
        <f t="shared" si="116"/>
        <v>1523706.5056525664</v>
      </c>
      <c r="D233" s="2">
        <f t="shared" si="117"/>
        <v>90034.59593054303</v>
      </c>
      <c r="E233" s="2">
        <f t="shared" si="118"/>
        <v>3548.854098449508</v>
      </c>
      <c r="F233" s="2">
        <f t="shared" si="106"/>
        <v>59</v>
      </c>
      <c r="G233" s="24">
        <f t="shared" si="107"/>
        <v>13044.810498936706</v>
      </c>
      <c r="H233" s="25">
        <f t="shared" si="108"/>
        <v>73381.931333156826</v>
      </c>
      <c r="I233" s="2">
        <f t="shared" si="119"/>
        <v>15263.44171729662</v>
      </c>
      <c r="J233" s="2">
        <f t="shared" si="120"/>
        <v>58118.489615860206</v>
      </c>
      <c r="K233" s="2">
        <f t="shared" si="121"/>
        <v>29059.244807930103</v>
      </c>
      <c r="L233" s="2">
        <f t="shared" si="122"/>
        <v>29059.244807930103</v>
      </c>
      <c r="M233" s="27">
        <f t="shared" ref="M233" si="133">(A233+A234+A235)/3</f>
        <v>1462927.6473358907</v>
      </c>
    </row>
    <row r="234" spans="1:13" hidden="1" x14ac:dyDescent="0.3">
      <c r="A234" s="2">
        <f t="shared" si="115"/>
        <v>1462731.1545299536</v>
      </c>
      <c r="B234" s="23">
        <f t="shared" si="112"/>
        <v>9.8500000000000004E-2</v>
      </c>
      <c r="C234" s="2">
        <f t="shared" si="116"/>
        <v>1554590.6710344346</v>
      </c>
      <c r="D234" s="2">
        <f t="shared" si="117"/>
        <v>91859.516504480969</v>
      </c>
      <c r="E234" s="2">
        <f t="shared" si="118"/>
        <v>3620.7861906772655</v>
      </c>
      <c r="F234" s="2">
        <f t="shared" si="106"/>
        <v>59</v>
      </c>
      <c r="G234" s="24">
        <f t="shared" si="107"/>
        <v>13309.217117488059</v>
      </c>
      <c r="H234" s="25">
        <f t="shared" si="108"/>
        <v>74870.513196315645</v>
      </c>
      <c r="I234" s="2">
        <f t="shared" si="119"/>
        <v>15573.066744833655</v>
      </c>
      <c r="J234" s="2">
        <f t="shared" si="120"/>
        <v>59297.446451481992</v>
      </c>
      <c r="K234" s="2">
        <f t="shared" si="121"/>
        <v>29648.723225740996</v>
      </c>
      <c r="L234" s="2">
        <f t="shared" si="122"/>
        <v>29648.723225740996</v>
      </c>
      <c r="M234" s="28"/>
    </row>
    <row r="235" spans="1:13" hidden="1" x14ac:dyDescent="0.3">
      <c r="A235" s="2">
        <f t="shared" si="115"/>
        <v>1492379.8777556946</v>
      </c>
      <c r="B235" s="23">
        <f t="shared" si="112"/>
        <v>9.8500000000000004E-2</v>
      </c>
      <c r="C235" s="2">
        <f t="shared" si="116"/>
        <v>1586101.3340787522</v>
      </c>
      <c r="D235" s="2">
        <f t="shared" si="117"/>
        <v>93721.456323057646</v>
      </c>
      <c r="E235" s="2">
        <f t="shared" si="118"/>
        <v>3694.1774542013354</v>
      </c>
      <c r="F235" s="2">
        <f t="shared" si="106"/>
        <v>59</v>
      </c>
      <c r="G235" s="24">
        <f t="shared" si="107"/>
        <v>13578.98733017933</v>
      </c>
      <c r="H235" s="25">
        <f t="shared" si="108"/>
        <v>76389.291538676989</v>
      </c>
      <c r="I235" s="2">
        <f t="shared" si="119"/>
        <v>15888.972640044814</v>
      </c>
      <c r="J235" s="2">
        <f t="shared" si="120"/>
        <v>60500.318898632177</v>
      </c>
      <c r="K235" s="2">
        <f t="shared" si="121"/>
        <v>30250.159449316088</v>
      </c>
      <c r="L235" s="2">
        <f t="shared" si="122"/>
        <v>30250.159449316088</v>
      </c>
      <c r="M235" s="28"/>
    </row>
    <row r="236" spans="1:13" hidden="1" x14ac:dyDescent="0.3">
      <c r="A236" s="2">
        <f t="shared" si="115"/>
        <v>1522630.0372050107</v>
      </c>
      <c r="B236" s="23">
        <f t="shared" si="112"/>
        <v>9.8500000000000004E-2</v>
      </c>
      <c r="C236" s="2">
        <f t="shared" si="116"/>
        <v>1618251.2035414854</v>
      </c>
      <c r="D236" s="2">
        <f t="shared" si="117"/>
        <v>95621.166336474707</v>
      </c>
      <c r="E236" s="2">
        <f t="shared" si="118"/>
        <v>3769.0574888957954</v>
      </c>
      <c r="F236" s="2">
        <f t="shared" si="106"/>
        <v>59</v>
      </c>
      <c r="G236" s="24">
        <f t="shared" si="107"/>
        <v>13854.229939665525</v>
      </c>
      <c r="H236" s="25">
        <f t="shared" si="108"/>
        <v>77938.878907913386</v>
      </c>
      <c r="I236" s="2">
        <f t="shared" si="119"/>
        <v>16211.286812845985</v>
      </c>
      <c r="J236" s="2">
        <f t="shared" si="120"/>
        <v>61727.592095067404</v>
      </c>
      <c r="K236" s="2">
        <f t="shared" si="121"/>
        <v>30863.796047533702</v>
      </c>
      <c r="L236" s="2">
        <f t="shared" si="122"/>
        <v>30863.796047533702</v>
      </c>
      <c r="M236" s="27">
        <f t="shared" ref="M236" si="134">(A236+A237+A238)/3</f>
        <v>1553702.5280733265</v>
      </c>
    </row>
    <row r="237" spans="1:13" hidden="1" x14ac:dyDescent="0.3">
      <c r="A237" s="2">
        <f t="shared" si="115"/>
        <v>1553493.8332525443</v>
      </c>
      <c r="B237" s="23">
        <f t="shared" si="112"/>
        <v>9.8500000000000004E-2</v>
      </c>
      <c r="C237" s="2">
        <f t="shared" si="116"/>
        <v>1651053.2459808041</v>
      </c>
      <c r="D237" s="2">
        <f t="shared" si="117"/>
        <v>97559.412728259806</v>
      </c>
      <c r="E237" s="2">
        <f t="shared" si="118"/>
        <v>3845.4564950800177</v>
      </c>
      <c r="F237" s="2">
        <f t="shared" si="106"/>
        <v>59</v>
      </c>
      <c r="G237" s="24">
        <f t="shared" si="107"/>
        <v>14135.055955707072</v>
      </c>
      <c r="H237" s="25">
        <f t="shared" si="108"/>
        <v>79519.900277472727</v>
      </c>
      <c r="I237" s="2">
        <f t="shared" si="119"/>
        <v>16540.139257714331</v>
      </c>
      <c r="J237" s="2">
        <f t="shared" si="120"/>
        <v>62979.7610197584</v>
      </c>
      <c r="K237" s="2">
        <f t="shared" si="121"/>
        <v>31489.8805098792</v>
      </c>
      <c r="L237" s="2">
        <f t="shared" si="122"/>
        <v>31489.8805098792</v>
      </c>
      <c r="M237" s="28"/>
    </row>
    <row r="238" spans="1:13" hidden="1" x14ac:dyDescent="0.3">
      <c r="A238" s="2">
        <f t="shared" si="115"/>
        <v>1584983.7137624235</v>
      </c>
      <c r="B238" s="23">
        <f t="shared" si="112"/>
        <v>9.8500000000000004E-2</v>
      </c>
      <c r="C238" s="2">
        <f t="shared" si="116"/>
        <v>1684520.6909867036</v>
      </c>
      <c r="D238" s="2">
        <f t="shared" si="117"/>
        <v>99536.977224280126</v>
      </c>
      <c r="E238" s="2">
        <f t="shared" si="118"/>
        <v>3923.405285698952</v>
      </c>
      <c r="F238" s="2">
        <f t="shared" si="106"/>
        <v>59</v>
      </c>
      <c r="G238" s="24">
        <f t="shared" si="107"/>
        <v>14421.578639941836</v>
      </c>
      <c r="H238" s="25">
        <f t="shared" si="108"/>
        <v>81132.99329863934</v>
      </c>
      <c r="I238" s="2">
        <f t="shared" si="119"/>
        <v>16875.662606116985</v>
      </c>
      <c r="J238" s="2">
        <f t="shared" si="120"/>
        <v>64257.330692522359</v>
      </c>
      <c r="K238" s="2">
        <f t="shared" si="121"/>
        <v>32128.665346261179</v>
      </c>
      <c r="L238" s="2">
        <f t="shared" si="122"/>
        <v>32128.665346261179</v>
      </c>
      <c r="M238" s="28"/>
    </row>
    <row r="239" spans="1:13" hidden="1" x14ac:dyDescent="0.3">
      <c r="A239" s="2">
        <f t="shared" si="115"/>
        <v>1617112.3791086846</v>
      </c>
      <c r="B239" s="23">
        <f t="shared" si="112"/>
        <v>9.8500000000000004E-2</v>
      </c>
      <c r="C239" s="2">
        <f t="shared" si="116"/>
        <v>1718667.03651671</v>
      </c>
      <c r="D239" s="2">
        <f t="shared" si="117"/>
        <v>101554.65740802535</v>
      </c>
      <c r="E239" s="2">
        <f t="shared" si="118"/>
        <v>4002.9352987504726</v>
      </c>
      <c r="F239" s="2">
        <f t="shared" si="106"/>
        <v>59</v>
      </c>
      <c r="G239" s="24">
        <f t="shared" si="107"/>
        <v>14713.913551565369</v>
      </c>
      <c r="H239" s="25">
        <f t="shared" si="108"/>
        <v>82778.808557709504</v>
      </c>
      <c r="I239" s="2">
        <f t="shared" si="119"/>
        <v>17217.992180003577</v>
      </c>
      <c r="J239" s="2">
        <f t="shared" si="120"/>
        <v>65560.816377705924</v>
      </c>
      <c r="K239" s="2">
        <f t="shared" si="121"/>
        <v>32780.408188852962</v>
      </c>
      <c r="L239" s="2">
        <f t="shared" si="122"/>
        <v>32780.408188852962</v>
      </c>
      <c r="M239" s="27">
        <f t="shared" ref="M239" si="135">(A239+A240+A241)/3</f>
        <v>1650114.4418665867</v>
      </c>
    </row>
    <row r="240" spans="1:13" hidden="1" x14ac:dyDescent="0.3">
      <c r="A240" s="2">
        <f t="shared" si="115"/>
        <v>1649892.7872975376</v>
      </c>
      <c r="B240" s="23">
        <f t="shared" si="112"/>
        <v>9.8500000000000004E-2</v>
      </c>
      <c r="C240" s="2">
        <f t="shared" si="116"/>
        <v>1753506.0543398228</v>
      </c>
      <c r="D240" s="2">
        <f t="shared" si="117"/>
        <v>103613.2670422853</v>
      </c>
      <c r="E240" s="2">
        <f t="shared" si="118"/>
        <v>4084.0786099648321</v>
      </c>
      <c r="F240" s="2">
        <f t="shared" si="106"/>
        <v>59</v>
      </c>
      <c r="G240" s="24">
        <f t="shared" si="107"/>
        <v>15012.178593937784</v>
      </c>
      <c r="H240" s="25">
        <f t="shared" si="108"/>
        <v>84458.00983838267</v>
      </c>
      <c r="I240" s="2">
        <f t="shared" si="119"/>
        <v>17567.266046383596</v>
      </c>
      <c r="J240" s="2">
        <f t="shared" si="120"/>
        <v>66890.743791999077</v>
      </c>
      <c r="K240" s="2">
        <f t="shared" si="121"/>
        <v>33445.371895999539</v>
      </c>
      <c r="L240" s="2">
        <f t="shared" si="122"/>
        <v>33445.371895999539</v>
      </c>
      <c r="M240" s="28"/>
    </row>
    <row r="241" spans="1:13" hidden="1" x14ac:dyDescent="0.3">
      <c r="A241" s="2">
        <f t="shared" si="115"/>
        <v>1683338.1591935372</v>
      </c>
      <c r="B241" s="23">
        <f t="shared" si="112"/>
        <v>9.8500000000000004E-2</v>
      </c>
      <c r="C241" s="2">
        <f t="shared" si="116"/>
        <v>1789051.7955908913</v>
      </c>
      <c r="D241" s="2">
        <f t="shared" si="117"/>
        <v>105713.63639735407</v>
      </c>
      <c r="E241" s="2">
        <f t="shared" si="118"/>
        <v>4166.8679457413136</v>
      </c>
      <c r="F241" s="2">
        <f t="shared" si="106"/>
        <v>59</v>
      </c>
      <c r="G241" s="24">
        <f t="shared" si="107"/>
        <v>15316.494062136062</v>
      </c>
      <c r="H241" s="25">
        <f t="shared" si="108"/>
        <v>86171.274389476705</v>
      </c>
      <c r="I241" s="2">
        <f t="shared" si="119"/>
        <v>17923.625073011157</v>
      </c>
      <c r="J241" s="2">
        <f t="shared" si="120"/>
        <v>68247.64931646554</v>
      </c>
      <c r="K241" s="2">
        <f t="shared" si="121"/>
        <v>34123.82465823277</v>
      </c>
      <c r="L241" s="2">
        <f t="shared" si="122"/>
        <v>34123.82465823277</v>
      </c>
      <c r="M241" s="28"/>
    </row>
    <row r="242" spans="1:13" hidden="1" x14ac:dyDescent="0.3">
      <c r="A242" s="2">
        <f t="shared" si="115"/>
        <v>1717461.9838517699</v>
      </c>
      <c r="B242" s="23">
        <f t="shared" si="112"/>
        <v>9.8500000000000004E-2</v>
      </c>
      <c r="C242" s="2">
        <f t="shared" si="116"/>
        <v>1825318.596437661</v>
      </c>
      <c r="D242" s="2">
        <f t="shared" si="117"/>
        <v>107856.61258589104</v>
      </c>
      <c r="E242" s="2">
        <f t="shared" si="118"/>
        <v>4251.3366963473163</v>
      </c>
      <c r="F242" s="2">
        <f t="shared" si="106"/>
        <v>59</v>
      </c>
      <c r="G242" s="24">
        <f t="shared" si="107"/>
        <v>15626.982691470999</v>
      </c>
      <c r="H242" s="25">
        <f t="shared" si="108"/>
        <v>87919.29319807273</v>
      </c>
      <c r="I242" s="2">
        <f t="shared" si="119"/>
        <v>18287.21298519913</v>
      </c>
      <c r="J242" s="2">
        <f t="shared" si="120"/>
        <v>69632.080212873596</v>
      </c>
      <c r="K242" s="2">
        <f t="shared" si="121"/>
        <v>34816.040106436798</v>
      </c>
      <c r="L242" s="2">
        <f t="shared" si="122"/>
        <v>34816.040106436798</v>
      </c>
      <c r="M242" s="27">
        <f t="shared" ref="M242" si="136">(A242+A243+A244)/3</f>
        <v>1752513.4430634638</v>
      </c>
    </row>
    <row r="243" spans="1:13" hidden="1" x14ac:dyDescent="0.3">
      <c r="A243" s="2">
        <f t="shared" si="115"/>
        <v>1752278.0239582066</v>
      </c>
      <c r="B243" s="23">
        <f t="shared" si="112"/>
        <v>9.8500000000000004E-2</v>
      </c>
      <c r="C243" s="2">
        <f t="shared" si="116"/>
        <v>1862321.083862782</v>
      </c>
      <c r="D243" s="2">
        <f t="shared" si="117"/>
        <v>110043.05990457535</v>
      </c>
      <c r="E243" s="2">
        <f t="shared" si="118"/>
        <v>4337.5189293851863</v>
      </c>
      <c r="F243" s="2">
        <f t="shared" si="106"/>
        <v>59</v>
      </c>
      <c r="G243" s="24">
        <f t="shared" si="107"/>
        <v>15943.769706988312</v>
      </c>
      <c r="H243" s="25">
        <f t="shared" si="108"/>
        <v>89702.771268201846</v>
      </c>
      <c r="I243" s="2">
        <f t="shared" si="119"/>
        <v>18658.176423785986</v>
      </c>
      <c r="J243" s="2">
        <f t="shared" si="120"/>
        <v>71044.594844415857</v>
      </c>
      <c r="K243" s="2">
        <f t="shared" si="121"/>
        <v>35522.297422207928</v>
      </c>
      <c r="L243" s="2">
        <f t="shared" si="122"/>
        <v>35522.297422207928</v>
      </c>
      <c r="M243" s="28"/>
    </row>
    <row r="244" spans="1:13" hidden="1" x14ac:dyDescent="0.3">
      <c r="A244" s="2">
        <f t="shared" si="115"/>
        <v>1787800.3213804145</v>
      </c>
      <c r="B244" s="23">
        <f t="shared" si="112"/>
        <v>9.8500000000000004E-2</v>
      </c>
      <c r="C244" s="2">
        <f t="shared" si="116"/>
        <v>1900074.1815631045</v>
      </c>
      <c r="D244" s="2">
        <f t="shared" si="117"/>
        <v>112273.86018268997</v>
      </c>
      <c r="E244" s="2">
        <f t="shared" si="118"/>
        <v>4425.4494035322223</v>
      </c>
      <c r="F244" s="2">
        <f t="shared" si="106"/>
        <v>59</v>
      </c>
      <c r="G244" s="24">
        <f t="shared" si="107"/>
        <v>16266.982873973924</v>
      </c>
      <c r="H244" s="25">
        <f t="shared" si="108"/>
        <v>91522.427905183809</v>
      </c>
      <c r="I244" s="2">
        <f t="shared" si="119"/>
        <v>19036.665004278235</v>
      </c>
      <c r="J244" s="2">
        <f t="shared" si="120"/>
        <v>72485.762900905567</v>
      </c>
      <c r="K244" s="2">
        <f t="shared" si="121"/>
        <v>36242.881450452784</v>
      </c>
      <c r="L244" s="2">
        <f t="shared" si="122"/>
        <v>36242.881450452784</v>
      </c>
      <c r="M244" s="28"/>
    </row>
    <row r="245" spans="1:13" hidden="1" x14ac:dyDescent="0.3">
      <c r="A245" s="2">
        <f t="shared" si="115"/>
        <v>1824043.2028308674</v>
      </c>
      <c r="B245" s="23">
        <f t="shared" si="112"/>
        <v>9.8500000000000004E-2</v>
      </c>
      <c r="C245" s="2">
        <f t="shared" si="116"/>
        <v>1938593.1159686458</v>
      </c>
      <c r="D245" s="2">
        <f t="shared" si="117"/>
        <v>114549.91313777841</v>
      </c>
      <c r="E245" s="2">
        <f t="shared" si="118"/>
        <v>4515.1635825594158</v>
      </c>
      <c r="F245" s="2">
        <f t="shared" si="106"/>
        <v>59</v>
      </c>
      <c r="G245" s="24">
        <f t="shared" si="107"/>
        <v>16596.752549483754</v>
      </c>
      <c r="H245" s="25">
        <f t="shared" si="108"/>
        <v>93378.997005735233</v>
      </c>
      <c r="I245" s="2">
        <f t="shared" si="119"/>
        <v>19422.831377192932</v>
      </c>
      <c r="J245" s="2">
        <f t="shared" si="120"/>
        <v>73956.165628542309</v>
      </c>
      <c r="K245" s="2">
        <f t="shared" si="121"/>
        <v>36978.082814271154</v>
      </c>
      <c r="L245" s="2">
        <f t="shared" si="122"/>
        <v>36978.082814271154</v>
      </c>
      <c r="M245" s="27">
        <f t="shared" ref="M245" si="137">(A245+A246+A247)/3</f>
        <v>1861271.3240511045</v>
      </c>
    </row>
    <row r="246" spans="1:13" hidden="1" x14ac:dyDescent="0.3">
      <c r="A246" s="2">
        <f t="shared" si="115"/>
        <v>1861021.2856451385</v>
      </c>
      <c r="B246" s="23">
        <f t="shared" si="112"/>
        <v>9.8500000000000004E-2</v>
      </c>
      <c r="C246" s="2">
        <f t="shared" si="116"/>
        <v>1977893.422383653</v>
      </c>
      <c r="D246" s="2">
        <f t="shared" si="117"/>
        <v>116872.13673851453</v>
      </c>
      <c r="E246" s="2">
        <f t="shared" si="118"/>
        <v>4606.6976496345496</v>
      </c>
      <c r="F246" s="2">
        <f t="shared" si="106"/>
        <v>59</v>
      </c>
      <c r="G246" s="24">
        <f t="shared" si="107"/>
        <v>16933.211734918783</v>
      </c>
      <c r="H246" s="25">
        <f t="shared" si="108"/>
        <v>95273.227353961207</v>
      </c>
      <c r="I246" s="2">
        <f t="shared" si="119"/>
        <v>19816.831289623933</v>
      </c>
      <c r="J246" s="2">
        <f t="shared" si="120"/>
        <v>75456.39606433727</v>
      </c>
      <c r="K246" s="2">
        <f t="shared" si="121"/>
        <v>37728.198032168635</v>
      </c>
      <c r="L246" s="2">
        <f t="shared" si="122"/>
        <v>37728.198032168635</v>
      </c>
      <c r="M246" s="28"/>
    </row>
    <row r="247" spans="1:13" hidden="1" x14ac:dyDescent="0.3">
      <c r="A247" s="2">
        <f t="shared" si="115"/>
        <v>1898749.4836773071</v>
      </c>
      <c r="B247" s="23">
        <f t="shared" si="112"/>
        <v>9.8500000000000004E-2</v>
      </c>
      <c r="C247" s="2">
        <f t="shared" si="116"/>
        <v>2017990.9512522421</v>
      </c>
      <c r="D247" s="2">
        <f t="shared" si="117"/>
        <v>119241.46757493494</v>
      </c>
      <c r="E247" s="2">
        <f t="shared" si="118"/>
        <v>4700.0885219154588</v>
      </c>
      <c r="F247" s="2">
        <f t="shared" si="106"/>
        <v>59</v>
      </c>
      <c r="G247" s="24">
        <f t="shared" si="107"/>
        <v>17276.496129666684</v>
      </c>
      <c r="H247" s="25">
        <f t="shared" si="108"/>
        <v>97205.882923352794</v>
      </c>
      <c r="I247" s="2">
        <f t="shared" si="119"/>
        <v>20218.823648057383</v>
      </c>
      <c r="J247" s="2">
        <f t="shared" si="120"/>
        <v>76987.059275295411</v>
      </c>
      <c r="K247" s="2">
        <f t="shared" si="121"/>
        <v>38493.529637647705</v>
      </c>
      <c r="L247" s="2">
        <f t="shared" si="122"/>
        <v>38493.529637647705</v>
      </c>
      <c r="M247" s="28"/>
    </row>
    <row r="248" spans="1:13" hidden="1" x14ac:dyDescent="0.3">
      <c r="A248" s="2">
        <f t="shared" si="115"/>
        <v>1937243.0133149549</v>
      </c>
      <c r="B248" s="23">
        <f t="shared" si="112"/>
        <v>9.8500000000000004E-2</v>
      </c>
      <c r="C248" s="2">
        <f t="shared" si="116"/>
        <v>2058901.874551134</v>
      </c>
      <c r="D248" s="2">
        <f t="shared" si="117"/>
        <v>121658.86123617901</v>
      </c>
      <c r="E248" s="2">
        <f t="shared" si="118"/>
        <v>4795.3738654393064</v>
      </c>
      <c r="F248" s="2">
        <f t="shared" si="106"/>
        <v>59</v>
      </c>
      <c r="G248" s="24">
        <f t="shared" si="107"/>
        <v>17626.744185831561</v>
      </c>
      <c r="H248" s="25">
        <f t="shared" si="108"/>
        <v>99177.743184908148</v>
      </c>
      <c r="I248" s="2">
        <f t="shared" si="119"/>
        <v>20628.970582460897</v>
      </c>
      <c r="J248" s="2">
        <f t="shared" si="120"/>
        <v>78548.77260244725</v>
      </c>
      <c r="K248" s="2">
        <f t="shared" si="121"/>
        <v>39274.386301223625</v>
      </c>
      <c r="L248" s="2">
        <f t="shared" si="122"/>
        <v>39274.386301223625</v>
      </c>
      <c r="M248" s="27">
        <f t="shared" ref="M248" si="138">(A248+A249+A250)/3</f>
        <v>1976782.9651674097</v>
      </c>
    </row>
    <row r="249" spans="1:13" hidden="1" x14ac:dyDescent="0.3">
      <c r="A249" s="2">
        <f t="shared" si="115"/>
        <v>1976517.3996161786</v>
      </c>
      <c r="B249" s="23">
        <f t="shared" si="112"/>
        <v>9.8500000000000004E-2</v>
      </c>
      <c r="C249" s="2">
        <f t="shared" si="116"/>
        <v>2100642.6923120744</v>
      </c>
      <c r="D249" s="2">
        <f t="shared" si="117"/>
        <v>124125.29269589577</v>
      </c>
      <c r="E249" s="2">
        <f t="shared" si="118"/>
        <v>4892.5921103139035</v>
      </c>
      <c r="F249" s="2">
        <f t="shared" si="106"/>
        <v>59</v>
      </c>
      <c r="G249" s="24">
        <f t="shared" si="107"/>
        <v>17984.097164073864</v>
      </c>
      <c r="H249" s="25">
        <f t="shared" si="108"/>
        <v>101189.60342150801</v>
      </c>
      <c r="I249" s="2">
        <f t="shared" si="119"/>
        <v>21047.43751167367</v>
      </c>
      <c r="J249" s="2">
        <f t="shared" si="120"/>
        <v>80142.165909834352</v>
      </c>
      <c r="K249" s="2">
        <f t="shared" si="121"/>
        <v>40071.082954917176</v>
      </c>
      <c r="L249" s="2">
        <f t="shared" si="122"/>
        <v>40071.082954917176</v>
      </c>
      <c r="M249" s="28"/>
    </row>
    <row r="250" spans="1:13" hidden="1" x14ac:dyDescent="0.3">
      <c r="A250" s="2">
        <f t="shared" si="115"/>
        <v>2016588.4825710957</v>
      </c>
      <c r="B250" s="23">
        <f t="shared" si="112"/>
        <v>9.8500000000000004E-2</v>
      </c>
      <c r="C250" s="2">
        <f t="shared" si="116"/>
        <v>2143230.2392765605</v>
      </c>
      <c r="D250" s="2">
        <f t="shared" si="117"/>
        <v>126641.7567054648</v>
      </c>
      <c r="E250" s="2">
        <f t="shared" si="118"/>
        <v>4991.782466217187</v>
      </c>
      <c r="F250" s="2">
        <f t="shared" si="106"/>
        <v>59</v>
      </c>
      <c r="G250" s="24">
        <f t="shared" si="107"/>
        <v>18348.699190583135</v>
      </c>
      <c r="H250" s="25">
        <f t="shared" si="108"/>
        <v>103242.27504866447</v>
      </c>
      <c r="I250" s="2">
        <f t="shared" si="119"/>
        <v>21474.393210122209</v>
      </c>
      <c r="J250" s="2">
        <f t="shared" si="120"/>
        <v>81767.881838542264</v>
      </c>
      <c r="K250" s="2">
        <f t="shared" si="121"/>
        <v>40883.940919271132</v>
      </c>
      <c r="L250" s="2">
        <f t="shared" si="122"/>
        <v>40883.940919271132</v>
      </c>
      <c r="M250" s="28"/>
    </row>
    <row r="251" spans="1:13" hidden="1" x14ac:dyDescent="0.3">
      <c r="A251" s="2">
        <f t="shared" si="115"/>
        <v>2057472.4234903669</v>
      </c>
      <c r="B251" s="23">
        <f t="shared" si="112"/>
        <v>9.8500000000000004E-2</v>
      </c>
      <c r="C251" s="2">
        <f t="shared" si="116"/>
        <v>2186681.691685562</v>
      </c>
      <c r="D251" s="2">
        <f t="shared" si="117"/>
        <v>129209.26819519512</v>
      </c>
      <c r="E251" s="2">
        <f t="shared" si="118"/>
        <v>5092.9849382111142</v>
      </c>
      <c r="F251" s="2">
        <f t="shared" si="106"/>
        <v>59</v>
      </c>
      <c r="G251" s="24">
        <f t="shared" si="107"/>
        <v>18720.69731520638</v>
      </c>
      <c r="H251" s="25">
        <f t="shared" si="108"/>
        <v>105336.58594177762</v>
      </c>
      <c r="I251" s="2">
        <f t="shared" si="119"/>
        <v>21910.009875889747</v>
      </c>
      <c r="J251" s="2">
        <f t="shared" si="120"/>
        <v>83426.576065887872</v>
      </c>
      <c r="K251" s="2">
        <f t="shared" si="121"/>
        <v>41713.288032943936</v>
      </c>
      <c r="L251" s="2">
        <f t="shared" si="122"/>
        <v>41713.288032943936</v>
      </c>
      <c r="M251" s="27">
        <f t="shared" ref="M251" si="139">(A251+A252+A253)/3</f>
        <v>2099467.7684406401</v>
      </c>
    </row>
    <row r="252" spans="1:13" hidden="1" x14ac:dyDescent="0.3">
      <c r="A252" s="2">
        <f t="shared" si="115"/>
        <v>2099185.7115233107</v>
      </c>
      <c r="B252" s="23">
        <f t="shared" si="112"/>
        <v>9.8500000000000004E-2</v>
      </c>
      <c r="C252" s="2">
        <f t="shared" si="116"/>
        <v>2231014.5742069748</v>
      </c>
      <c r="D252" s="2">
        <f t="shared" si="117"/>
        <v>131828.86268366408</v>
      </c>
      <c r="E252" s="2">
        <f t="shared" si="118"/>
        <v>5196.2403428763419</v>
      </c>
      <c r="F252" s="2">
        <f t="shared" si="106"/>
        <v>59</v>
      </c>
      <c r="G252" s="24">
        <f t="shared" si="107"/>
        <v>19100.241570755628</v>
      </c>
      <c r="H252" s="25">
        <f t="shared" si="108"/>
        <v>107473.38077003212</v>
      </c>
      <c r="I252" s="2">
        <f t="shared" si="119"/>
        <v>22354.463200166683</v>
      </c>
      <c r="J252" s="2">
        <f t="shared" si="120"/>
        <v>85118.917569865444</v>
      </c>
      <c r="K252" s="2">
        <f t="shared" si="121"/>
        <v>42559.458784932722</v>
      </c>
      <c r="L252" s="2">
        <f t="shared" si="122"/>
        <v>42559.458784932722</v>
      </c>
      <c r="M252" s="28"/>
    </row>
    <row r="253" spans="1:13" hidden="1" x14ac:dyDescent="0.3">
      <c r="A253" s="2">
        <f t="shared" si="115"/>
        <v>2141745.1703082435</v>
      </c>
      <c r="B253" s="23">
        <f t="shared" si="112"/>
        <v>9.8500000000000004E-2</v>
      </c>
      <c r="C253" s="2">
        <f t="shared" si="116"/>
        <v>2276246.767003601</v>
      </c>
      <c r="D253" s="2">
        <f t="shared" si="117"/>
        <v>134501.59669535747</v>
      </c>
      <c r="E253" s="2">
        <f t="shared" si="118"/>
        <v>5301.5903247742135</v>
      </c>
      <c r="F253" s="2">
        <f t="shared" si="106"/>
        <v>59</v>
      </c>
      <c r="G253" s="24">
        <f t="shared" si="107"/>
        <v>19487.485033518598</v>
      </c>
      <c r="H253" s="25">
        <f t="shared" si="108"/>
        <v>109653.52133706465</v>
      </c>
      <c r="I253" s="2">
        <f t="shared" si="119"/>
        <v>22807.932438109452</v>
      </c>
      <c r="J253" s="2">
        <f t="shared" si="120"/>
        <v>86845.588898955204</v>
      </c>
      <c r="K253" s="2">
        <f t="shared" si="121"/>
        <v>43422.794449477602</v>
      </c>
      <c r="L253" s="2">
        <f t="shared" si="122"/>
        <v>43422.794449477602</v>
      </c>
      <c r="M253" s="28"/>
    </row>
    <row r="254" spans="1:13" hidden="1" x14ac:dyDescent="0.3">
      <c r="A254" s="2">
        <f t="shared" si="115"/>
        <v>2185167.9647577209</v>
      </c>
      <c r="B254" s="23">
        <f t="shared" si="112"/>
        <v>9.8500000000000004E-2</v>
      </c>
      <c r="C254" s="2">
        <f t="shared" si="116"/>
        <v>2322396.5129445055</v>
      </c>
      <c r="D254" s="2">
        <f t="shared" si="117"/>
        <v>137228.54818678461</v>
      </c>
      <c r="E254" s="2">
        <f t="shared" si="118"/>
        <v>5409.0773732426715</v>
      </c>
      <c r="F254" s="2">
        <f t="shared" si="106"/>
        <v>59</v>
      </c>
      <c r="G254" s="24">
        <f t="shared" si="107"/>
        <v>19882.583884996784</v>
      </c>
      <c r="H254" s="25">
        <f t="shared" si="108"/>
        <v>111877.88692854515</v>
      </c>
      <c r="I254" s="2">
        <f t="shared" si="119"/>
        <v>23270.600481137393</v>
      </c>
      <c r="J254" s="2">
        <f t="shared" si="120"/>
        <v>88607.286447407765</v>
      </c>
      <c r="K254" s="2">
        <f t="shared" si="121"/>
        <v>44303.643223703883</v>
      </c>
      <c r="L254" s="2">
        <f t="shared" si="122"/>
        <v>44303.643223703883</v>
      </c>
      <c r="M254" s="27">
        <f t="shared" ref="M254" si="140">(A254+A255+A256)/3</f>
        <v>2229771.1803628751</v>
      </c>
    </row>
    <row r="255" spans="1:13" hidden="1" x14ac:dyDescent="0.3">
      <c r="A255" s="2">
        <f t="shared" si="115"/>
        <v>2229471.6079814248</v>
      </c>
      <c r="B255" s="23">
        <f t="shared" si="112"/>
        <v>9.8500000000000004E-2</v>
      </c>
      <c r="C255" s="2">
        <f t="shared" si="116"/>
        <v>2369482.424962658</v>
      </c>
      <c r="D255" s="2">
        <f t="shared" si="117"/>
        <v>140010.81698123319</v>
      </c>
      <c r="E255" s="2">
        <f t="shared" si="118"/>
        <v>5518.7448395328993</v>
      </c>
      <c r="F255" s="2">
        <f t="shared" si="106"/>
        <v>59</v>
      </c>
      <c r="G255" s="24">
        <f t="shared" si="107"/>
        <v>20285.697474896009</v>
      </c>
      <c r="H255" s="25">
        <f t="shared" si="108"/>
        <v>114147.37466680427</v>
      </c>
      <c r="I255" s="2">
        <f t="shared" si="119"/>
        <v>23742.653930695291</v>
      </c>
      <c r="J255" s="2">
        <f t="shared" si="120"/>
        <v>90404.720736108982</v>
      </c>
      <c r="K255" s="2">
        <f t="shared" si="121"/>
        <v>45202.360368054491</v>
      </c>
      <c r="L255" s="2">
        <f t="shared" si="122"/>
        <v>45202.360368054491</v>
      </c>
      <c r="M255" s="28"/>
    </row>
    <row r="256" spans="1:13" hidden="1" x14ac:dyDescent="0.3">
      <c r="A256" s="2">
        <f t="shared" ref="A256:A278" si="141">A255+L255</f>
        <v>2274673.9683494791</v>
      </c>
      <c r="B256" s="23">
        <f t="shared" si="112"/>
        <v>9.8500000000000004E-2</v>
      </c>
      <c r="C256" s="2">
        <f t="shared" ref="C256:C278" si="142">A256*1.0628</f>
        <v>2417523.4935618262</v>
      </c>
      <c r="D256" s="2">
        <f t="shared" ref="D256:D278" si="143">C256-A256</f>
        <v>142849.52521234704</v>
      </c>
      <c r="E256" s="2">
        <f t="shared" ref="E256:E278" si="144">((A256+C256)*0.0012)</f>
        <v>5630.6369542935663</v>
      </c>
      <c r="F256" s="2">
        <f t="shared" si="106"/>
        <v>59</v>
      </c>
      <c r="G256" s="24">
        <f t="shared" si="107"/>
        <v>20696.988385394667</v>
      </c>
      <c r="H256" s="25">
        <f t="shared" si="108"/>
        <v>116462.89987265882</v>
      </c>
      <c r="I256" s="2">
        <f t="shared" ref="I256:I278" si="145">(H256*0.2)*1.04</f>
        <v>24224.283173513035</v>
      </c>
      <c r="J256" s="2">
        <f t="shared" ref="J256:J278" si="146">H256-I256</f>
        <v>92238.616699145787</v>
      </c>
      <c r="K256" s="2">
        <f t="shared" ref="K256:K278" si="147">J256*0.5</f>
        <v>46119.308349572893</v>
      </c>
      <c r="L256" s="2">
        <f t="shared" ref="L256:L278" si="148">J256-K256</f>
        <v>46119.308349572893</v>
      </c>
      <c r="M256" s="28"/>
    </row>
    <row r="257" spans="1:13" hidden="1" x14ac:dyDescent="0.3">
      <c r="A257" s="2">
        <f t="shared" si="141"/>
        <v>2320793.2766990522</v>
      </c>
      <c r="B257" s="23">
        <f t="shared" si="112"/>
        <v>9.8500000000000004E-2</v>
      </c>
      <c r="C257" s="2">
        <f t="shared" si="142"/>
        <v>2466539.0944757527</v>
      </c>
      <c r="D257" s="2">
        <f t="shared" si="143"/>
        <v>145745.81777670048</v>
      </c>
      <c r="E257" s="2">
        <f t="shared" si="144"/>
        <v>5744.7988454097649</v>
      </c>
      <c r="F257" s="2">
        <f t="shared" si="106"/>
        <v>59</v>
      </c>
      <c r="G257" s="24">
        <f t="shared" si="107"/>
        <v>21116.62249671575</v>
      </c>
      <c r="H257" s="25">
        <f t="shared" si="108"/>
        <v>118825.39643457497</v>
      </c>
      <c r="I257" s="2">
        <f t="shared" si="145"/>
        <v>24715.682458391595</v>
      </c>
      <c r="J257" s="2">
        <f t="shared" si="146"/>
        <v>94109.713976183382</v>
      </c>
      <c r="K257" s="2">
        <f t="shared" si="147"/>
        <v>47054.856988091691</v>
      </c>
      <c r="L257" s="2">
        <f t="shared" si="148"/>
        <v>47054.856988091691</v>
      </c>
      <c r="M257" s="27">
        <f t="shared" ref="M257" si="149">(A257+A258+A259)/3</f>
        <v>2368166.3092262419</v>
      </c>
    </row>
    <row r="258" spans="1:13" hidden="1" x14ac:dyDescent="0.3">
      <c r="A258" s="2">
        <f t="shared" si="141"/>
        <v>2367848.1336871437</v>
      </c>
      <c r="B258" s="23">
        <f t="shared" si="112"/>
        <v>9.8500000000000004E-2</v>
      </c>
      <c r="C258" s="2">
        <f t="shared" si="142"/>
        <v>2516548.9964826964</v>
      </c>
      <c r="D258" s="2">
        <f t="shared" si="143"/>
        <v>148700.8627955527</v>
      </c>
      <c r="E258" s="2">
        <f t="shared" si="144"/>
        <v>5861.2765562038085</v>
      </c>
      <c r="F258" s="2">
        <f t="shared" si="106"/>
        <v>59</v>
      </c>
      <c r="G258" s="24">
        <f t="shared" si="107"/>
        <v>21544.76905402902</v>
      </c>
      <c r="H258" s="25">
        <f t="shared" si="108"/>
        <v>121235.81718531987</v>
      </c>
      <c r="I258" s="2">
        <f t="shared" si="145"/>
        <v>25217.049974546535</v>
      </c>
      <c r="J258" s="2">
        <f t="shared" si="146"/>
        <v>96018.767210773338</v>
      </c>
      <c r="K258" s="2">
        <f t="shared" si="147"/>
        <v>48009.383605386669</v>
      </c>
      <c r="L258" s="2">
        <f t="shared" si="148"/>
        <v>48009.383605386669</v>
      </c>
      <c r="M258" s="28"/>
    </row>
    <row r="259" spans="1:13" hidden="1" x14ac:dyDescent="0.3">
      <c r="A259" s="2">
        <f t="shared" si="141"/>
        <v>2415857.5172925303</v>
      </c>
      <c r="B259" s="23">
        <f t="shared" si="112"/>
        <v>9.8500000000000004E-2</v>
      </c>
      <c r="C259" s="2">
        <f t="shared" si="142"/>
        <v>2567573.3693785011</v>
      </c>
      <c r="D259" s="2">
        <f t="shared" si="143"/>
        <v>151715.85208597081</v>
      </c>
      <c r="E259" s="2">
        <f t="shared" si="144"/>
        <v>5980.1170640052369</v>
      </c>
      <c r="F259" s="2">
        <f t="shared" ref="F259:F322" si="150">(25*2)*1.18</f>
        <v>59</v>
      </c>
      <c r="G259" s="24">
        <f t="shared" ref="G259:G280" si="151">A259 * (17/30) * 8.5 * (B259 / 365 * 7)</f>
        <v>21981.600735710261</v>
      </c>
      <c r="H259" s="25">
        <f t="shared" ref="H259:H280" si="152">D259-E259-F259-G259</f>
        <v>123695.13428625531</v>
      </c>
      <c r="I259" s="2">
        <f t="shared" si="145"/>
        <v>25728.587931541108</v>
      </c>
      <c r="J259" s="2">
        <f t="shared" si="146"/>
        <v>97966.546354714199</v>
      </c>
      <c r="K259" s="2">
        <f t="shared" si="147"/>
        <v>48983.273177357099</v>
      </c>
      <c r="L259" s="2">
        <f t="shared" si="148"/>
        <v>48983.273177357099</v>
      </c>
      <c r="M259" s="28"/>
    </row>
    <row r="260" spans="1:13" hidden="1" x14ac:dyDescent="0.3">
      <c r="A260" s="2">
        <f t="shared" si="141"/>
        <v>2464840.7904698872</v>
      </c>
      <c r="B260" s="23">
        <f t="shared" ref="B260:B280" si="153">B259</f>
        <v>9.8500000000000004E-2</v>
      </c>
      <c r="C260" s="2">
        <f t="shared" si="142"/>
        <v>2619632.7921113959</v>
      </c>
      <c r="D260" s="2">
        <f t="shared" si="143"/>
        <v>154792.00164150866</v>
      </c>
      <c r="E260" s="2">
        <f t="shared" si="144"/>
        <v>6101.3682990975394</v>
      </c>
      <c r="F260" s="2">
        <f t="shared" si="150"/>
        <v>59</v>
      </c>
      <c r="G260" s="24">
        <f t="shared" si="151"/>
        <v>22427.293722985269</v>
      </c>
      <c r="H260" s="25">
        <f t="shared" si="152"/>
        <v>126204.33961942584</v>
      </c>
      <c r="I260" s="2">
        <f t="shared" si="145"/>
        <v>26250.502640840576</v>
      </c>
      <c r="J260" s="2">
        <f t="shared" si="146"/>
        <v>99953.836978585256</v>
      </c>
      <c r="K260" s="2">
        <f t="shared" si="147"/>
        <v>49976.918489292628</v>
      </c>
      <c r="L260" s="2">
        <f t="shared" si="148"/>
        <v>49976.918489292628</v>
      </c>
      <c r="M260" s="27">
        <f t="shared" ref="M260" si="154">(A260+A261+A262)/3</f>
        <v>2515155.6428941791</v>
      </c>
    </row>
    <row r="261" spans="1:13" hidden="1" x14ac:dyDescent="0.3">
      <c r="A261" s="2">
        <f t="shared" si="141"/>
        <v>2514817.7089591799</v>
      </c>
      <c r="B261" s="23">
        <f t="shared" si="153"/>
        <v>9.8500000000000004E-2</v>
      </c>
      <c r="C261" s="2">
        <f t="shared" si="142"/>
        <v>2672748.2610818162</v>
      </c>
      <c r="D261" s="2">
        <f t="shared" si="143"/>
        <v>157930.55212263623</v>
      </c>
      <c r="E261" s="2">
        <f t="shared" si="144"/>
        <v>6225.0791640491943</v>
      </c>
      <c r="F261" s="2">
        <f t="shared" si="150"/>
        <v>59</v>
      </c>
      <c r="G261" s="24">
        <f t="shared" si="151"/>
        <v>22882.027770986555</v>
      </c>
      <c r="H261" s="25">
        <f t="shared" si="152"/>
        <v>128764.4451876005</v>
      </c>
      <c r="I261" s="2">
        <f t="shared" si="145"/>
        <v>26783.004599020907</v>
      </c>
      <c r="J261" s="2">
        <f t="shared" si="146"/>
        <v>101981.4405885796</v>
      </c>
      <c r="K261" s="2">
        <f t="shared" si="147"/>
        <v>50990.7202942898</v>
      </c>
      <c r="L261" s="2">
        <f t="shared" si="148"/>
        <v>50990.7202942898</v>
      </c>
      <c r="M261" s="28"/>
    </row>
    <row r="262" spans="1:13" hidden="1" x14ac:dyDescent="0.3">
      <c r="A262" s="2">
        <f t="shared" si="141"/>
        <v>2565808.4292534697</v>
      </c>
      <c r="B262" s="23">
        <f t="shared" si="153"/>
        <v>9.8500000000000004E-2</v>
      </c>
      <c r="C262" s="2">
        <f t="shared" si="142"/>
        <v>2726941.1986105875</v>
      </c>
      <c r="D262" s="2">
        <f t="shared" si="143"/>
        <v>161132.76935711782</v>
      </c>
      <c r="E262" s="2">
        <f t="shared" si="144"/>
        <v>6351.2995534368683</v>
      </c>
      <c r="F262" s="2">
        <f t="shared" si="150"/>
        <v>59</v>
      </c>
      <c r="G262" s="24">
        <f t="shared" si="151"/>
        <v>23345.986281251473</v>
      </c>
      <c r="H262" s="25">
        <f t="shared" si="152"/>
        <v>131376.48352242948</v>
      </c>
      <c r="I262" s="2">
        <f t="shared" si="145"/>
        <v>27326.308572665333</v>
      </c>
      <c r="J262" s="2">
        <f t="shared" si="146"/>
        <v>104050.17494976414</v>
      </c>
      <c r="K262" s="2">
        <f t="shared" si="147"/>
        <v>52025.087474882072</v>
      </c>
      <c r="L262" s="2">
        <f t="shared" si="148"/>
        <v>52025.087474882072</v>
      </c>
      <c r="M262" s="28"/>
    </row>
    <row r="263" spans="1:13" hidden="1" x14ac:dyDescent="0.3">
      <c r="A263" s="2">
        <f t="shared" si="141"/>
        <v>2617833.5167283518</v>
      </c>
      <c r="B263" s="23">
        <f t="shared" si="153"/>
        <v>9.8500000000000004E-2</v>
      </c>
      <c r="C263" s="2">
        <f t="shared" si="142"/>
        <v>2782233.4615788921</v>
      </c>
      <c r="D263" s="2">
        <f t="shared" si="143"/>
        <v>164399.94485054025</v>
      </c>
      <c r="E263" s="2">
        <f t="shared" si="144"/>
        <v>6480.0803739686917</v>
      </c>
      <c r="F263" s="2">
        <f t="shared" si="150"/>
        <v>59</v>
      </c>
      <c r="G263" s="24">
        <f t="shared" si="151"/>
        <v>23819.356375691023</v>
      </c>
      <c r="H263" s="25">
        <f t="shared" si="152"/>
        <v>134041.50810088054</v>
      </c>
      <c r="I263" s="2">
        <f t="shared" si="145"/>
        <v>27880.633684983153</v>
      </c>
      <c r="J263" s="2">
        <f t="shared" si="146"/>
        <v>106160.87441589739</v>
      </c>
      <c r="K263" s="2">
        <f t="shared" si="147"/>
        <v>53080.437207948693</v>
      </c>
      <c r="L263" s="2">
        <f t="shared" si="148"/>
        <v>53080.437207948693</v>
      </c>
      <c r="M263" s="27">
        <f t="shared" ref="M263" si="155">(A263+A264+A265)/3</f>
        <v>2671272.8732446409</v>
      </c>
    </row>
    <row r="264" spans="1:13" hidden="1" x14ac:dyDescent="0.3">
      <c r="A264" s="2">
        <f t="shared" si="141"/>
        <v>2670913.9539363007</v>
      </c>
      <c r="B264" s="23">
        <f t="shared" si="153"/>
        <v>9.8500000000000004E-2</v>
      </c>
      <c r="C264" s="2">
        <f t="shared" si="142"/>
        <v>2838647.3502435004</v>
      </c>
      <c r="D264" s="2">
        <f t="shared" si="143"/>
        <v>167733.39630719973</v>
      </c>
      <c r="E264" s="2">
        <f t="shared" si="144"/>
        <v>6611.47356501576</v>
      </c>
      <c r="F264" s="2">
        <f t="shared" si="150"/>
        <v>59</v>
      </c>
      <c r="G264" s="24">
        <f t="shared" si="151"/>
        <v>24302.328972059084</v>
      </c>
      <c r="H264" s="25">
        <f t="shared" si="152"/>
        <v>136760.59377012489</v>
      </c>
      <c r="I264" s="2">
        <f t="shared" si="145"/>
        <v>28446.203504185982</v>
      </c>
      <c r="J264" s="2">
        <f t="shared" si="146"/>
        <v>108314.39026593891</v>
      </c>
      <c r="K264" s="2">
        <f t="shared" si="147"/>
        <v>54157.195132969457</v>
      </c>
      <c r="L264" s="2">
        <f t="shared" si="148"/>
        <v>54157.195132969457</v>
      </c>
      <c r="M264" s="28"/>
    </row>
    <row r="265" spans="1:13" hidden="1" x14ac:dyDescent="0.3">
      <c r="A265" s="2">
        <f t="shared" si="141"/>
        <v>2725071.1490692701</v>
      </c>
      <c r="B265" s="23">
        <f t="shared" si="153"/>
        <v>9.8500000000000004E-2</v>
      </c>
      <c r="C265" s="2">
        <f t="shared" si="142"/>
        <v>2896205.61723082</v>
      </c>
      <c r="D265" s="2">
        <f t="shared" si="143"/>
        <v>171134.46816154988</v>
      </c>
      <c r="E265" s="2">
        <f t="shared" si="144"/>
        <v>6745.5321195601073</v>
      </c>
      <c r="F265" s="2">
        <f t="shared" si="150"/>
        <v>59</v>
      </c>
      <c r="G265" s="24">
        <f t="shared" si="151"/>
        <v>24795.098860952632</v>
      </c>
      <c r="H265" s="25">
        <f t="shared" si="152"/>
        <v>139534.83718103715</v>
      </c>
      <c r="I265" s="2">
        <f t="shared" si="145"/>
        <v>29023.246133655728</v>
      </c>
      <c r="J265" s="2">
        <f t="shared" si="146"/>
        <v>110511.59104738141</v>
      </c>
      <c r="K265" s="2">
        <f t="shared" si="147"/>
        <v>55255.795523690707</v>
      </c>
      <c r="L265" s="2">
        <f t="shared" si="148"/>
        <v>55255.795523690707</v>
      </c>
      <c r="M265" s="28"/>
    </row>
    <row r="266" spans="1:13" hidden="1" x14ac:dyDescent="0.3">
      <c r="A266" s="2">
        <f t="shared" si="141"/>
        <v>2780326.9445929606</v>
      </c>
      <c r="B266" s="23">
        <f t="shared" si="153"/>
        <v>9.8500000000000004E-2</v>
      </c>
      <c r="C266" s="2">
        <f t="shared" si="142"/>
        <v>2954931.4767133985</v>
      </c>
      <c r="D266" s="2">
        <f t="shared" si="143"/>
        <v>174604.53212043783</v>
      </c>
      <c r="E266" s="2">
        <f t="shared" si="144"/>
        <v>6882.3101055676298</v>
      </c>
      <c r="F266" s="2">
        <f t="shared" si="150"/>
        <v>59</v>
      </c>
      <c r="G266" s="24">
        <f t="shared" si="151"/>
        <v>25297.864784373909</v>
      </c>
      <c r="H266" s="25">
        <f t="shared" si="152"/>
        <v>142365.3572304963</v>
      </c>
      <c r="I266" s="2">
        <f t="shared" si="145"/>
        <v>29611.994303943233</v>
      </c>
      <c r="J266" s="2">
        <f t="shared" si="146"/>
        <v>112753.36292655306</v>
      </c>
      <c r="K266" s="2">
        <f t="shared" si="147"/>
        <v>56376.681463276531</v>
      </c>
      <c r="L266" s="2">
        <f t="shared" si="148"/>
        <v>56376.681463276531</v>
      </c>
      <c r="M266" s="27">
        <f t="shared" ref="M266" si="156">(A266+A267+A268)/3</f>
        <v>2837084.8339094818</v>
      </c>
    </row>
    <row r="267" spans="1:13" hidden="1" x14ac:dyDescent="0.3">
      <c r="A267" s="2">
        <f t="shared" si="141"/>
        <v>2836703.6260562371</v>
      </c>
      <c r="B267" s="23">
        <f t="shared" si="153"/>
        <v>9.8500000000000004E-2</v>
      </c>
      <c r="C267" s="2">
        <f t="shared" si="142"/>
        <v>3014848.6137725688</v>
      </c>
      <c r="D267" s="2">
        <f t="shared" si="143"/>
        <v>178144.98771633161</v>
      </c>
      <c r="E267" s="2">
        <f t="shared" si="144"/>
        <v>7021.8626877945671</v>
      </c>
      <c r="F267" s="2">
        <f t="shared" si="150"/>
        <v>59</v>
      </c>
      <c r="G267" s="24">
        <f t="shared" si="151"/>
        <v>25810.829515886264</v>
      </c>
      <c r="H267" s="25">
        <f t="shared" si="152"/>
        <v>145253.29551265077</v>
      </c>
      <c r="I267" s="2">
        <f t="shared" si="145"/>
        <v>30212.685466631363</v>
      </c>
      <c r="J267" s="2">
        <f t="shared" si="146"/>
        <v>115040.61004601941</v>
      </c>
      <c r="K267" s="2">
        <f t="shared" si="147"/>
        <v>57520.305023009707</v>
      </c>
      <c r="L267" s="2">
        <f t="shared" si="148"/>
        <v>57520.305023009707</v>
      </c>
      <c r="M267" s="28"/>
    </row>
    <row r="268" spans="1:13" hidden="1" x14ac:dyDescent="0.3">
      <c r="A268" s="2">
        <f t="shared" si="141"/>
        <v>2894223.931079247</v>
      </c>
      <c r="B268" s="23">
        <f t="shared" si="153"/>
        <v>9.8500000000000004E-2</v>
      </c>
      <c r="C268" s="2">
        <f t="shared" si="142"/>
        <v>3075981.1939510237</v>
      </c>
      <c r="D268" s="2">
        <f t="shared" si="143"/>
        <v>181757.26287177671</v>
      </c>
      <c r="E268" s="2">
        <f t="shared" si="144"/>
        <v>7164.2461500363243</v>
      </c>
      <c r="F268" s="2">
        <f t="shared" si="150"/>
        <v>59</v>
      </c>
      <c r="G268" s="24">
        <f t="shared" si="151"/>
        <v>26334.199942395964</v>
      </c>
      <c r="H268" s="25">
        <f t="shared" si="152"/>
        <v>148199.81677934443</v>
      </c>
      <c r="I268" s="2">
        <f t="shared" si="145"/>
        <v>30825.561890103643</v>
      </c>
      <c r="J268" s="2">
        <f t="shared" si="146"/>
        <v>117374.25488924078</v>
      </c>
      <c r="K268" s="2">
        <f t="shared" si="147"/>
        <v>58687.12744462039</v>
      </c>
      <c r="L268" s="2">
        <f t="shared" si="148"/>
        <v>58687.12744462039</v>
      </c>
      <c r="M268" s="28"/>
    </row>
    <row r="269" spans="1:13" hidden="1" x14ac:dyDescent="0.3">
      <c r="A269" s="2">
        <f t="shared" si="141"/>
        <v>2952911.0585238673</v>
      </c>
      <c r="B269" s="23">
        <f t="shared" si="153"/>
        <v>9.8500000000000004E-2</v>
      </c>
      <c r="C269" s="2">
        <f t="shared" si="142"/>
        <v>3138353.8729991661</v>
      </c>
      <c r="D269" s="2">
        <f t="shared" si="143"/>
        <v>185442.81447529886</v>
      </c>
      <c r="E269" s="2">
        <f t="shared" si="144"/>
        <v>7309.5179178276394</v>
      </c>
      <c r="F269" s="2">
        <f t="shared" si="150"/>
        <v>59</v>
      </c>
      <c r="G269" s="24">
        <f t="shared" si="151"/>
        <v>26868.187147593046</v>
      </c>
      <c r="H269" s="25">
        <f t="shared" si="152"/>
        <v>151206.10940987818</v>
      </c>
      <c r="I269" s="2">
        <f t="shared" si="145"/>
        <v>31450.870757254666</v>
      </c>
      <c r="J269" s="2">
        <f t="shared" si="146"/>
        <v>119755.23865262351</v>
      </c>
      <c r="K269" s="2">
        <f t="shared" si="147"/>
        <v>59877.619326311753</v>
      </c>
      <c r="L269" s="2">
        <f t="shared" si="148"/>
        <v>59877.619326311753</v>
      </c>
      <c r="M269" s="27">
        <f t="shared" ref="M269" si="157">(A269+A270+A271)/3</f>
        <v>3013193.5583455954</v>
      </c>
    </row>
    <row r="270" spans="1:13" hidden="1" x14ac:dyDescent="0.3">
      <c r="A270" s="2">
        <f t="shared" si="141"/>
        <v>3012788.6778501789</v>
      </c>
      <c r="B270" s="23">
        <f t="shared" si="153"/>
        <v>9.8500000000000004E-2</v>
      </c>
      <c r="C270" s="2">
        <f t="shared" si="142"/>
        <v>3201991.8068191702</v>
      </c>
      <c r="D270" s="2">
        <f t="shared" si="143"/>
        <v>189203.12896899134</v>
      </c>
      <c r="E270" s="2">
        <f t="shared" si="144"/>
        <v>7457.7365816032179</v>
      </c>
      <c r="F270" s="2">
        <f t="shared" si="150"/>
        <v>59</v>
      </c>
      <c r="G270" s="24">
        <f t="shared" si="151"/>
        <v>27413.006497084698</v>
      </c>
      <c r="H270" s="25">
        <f t="shared" si="152"/>
        <v>154273.38589030344</v>
      </c>
      <c r="I270" s="2">
        <f t="shared" si="145"/>
        <v>32088.864265183118</v>
      </c>
      <c r="J270" s="2">
        <f t="shared" si="146"/>
        <v>122184.52162512032</v>
      </c>
      <c r="K270" s="2">
        <f t="shared" si="147"/>
        <v>61092.260812560162</v>
      </c>
      <c r="L270" s="2">
        <f t="shared" si="148"/>
        <v>61092.260812560162</v>
      </c>
      <c r="M270" s="28"/>
    </row>
    <row r="271" spans="1:13" hidden="1" x14ac:dyDescent="0.3">
      <c r="A271" s="2">
        <f t="shared" si="141"/>
        <v>3073880.938662739</v>
      </c>
      <c r="B271" s="23">
        <f t="shared" si="153"/>
        <v>9.8500000000000004E-2</v>
      </c>
      <c r="C271" s="2">
        <f t="shared" si="142"/>
        <v>3266920.6616107589</v>
      </c>
      <c r="D271" s="2">
        <f t="shared" si="143"/>
        <v>193039.72294801986</v>
      </c>
      <c r="E271" s="2">
        <f t="shared" si="144"/>
        <v>7608.9619203281964</v>
      </c>
      <c r="F271" s="2">
        <f t="shared" si="150"/>
        <v>59</v>
      </c>
      <c r="G271" s="24">
        <f t="shared" si="151"/>
        <v>27968.877725255712</v>
      </c>
      <c r="H271" s="25">
        <f t="shared" si="152"/>
        <v>157402.88330243595</v>
      </c>
      <c r="I271" s="2">
        <f t="shared" si="145"/>
        <v>32739.79972690668</v>
      </c>
      <c r="J271" s="2">
        <f t="shared" si="146"/>
        <v>124663.08357552926</v>
      </c>
      <c r="K271" s="2">
        <f t="shared" si="147"/>
        <v>62331.541787764632</v>
      </c>
      <c r="L271" s="2">
        <f t="shared" si="148"/>
        <v>62331.541787764632</v>
      </c>
      <c r="M271" s="28"/>
    </row>
    <row r="272" spans="1:13" hidden="1" x14ac:dyDescent="0.3">
      <c r="A272" s="2">
        <f t="shared" si="141"/>
        <v>3136212.4804505035</v>
      </c>
      <c r="B272" s="23">
        <f t="shared" si="153"/>
        <v>9.8500000000000004E-2</v>
      </c>
      <c r="C272" s="2">
        <f t="shared" si="142"/>
        <v>3333166.624222795</v>
      </c>
      <c r="D272" s="2">
        <f t="shared" si="143"/>
        <v>196954.14377229149</v>
      </c>
      <c r="E272" s="2">
        <f t="shared" si="144"/>
        <v>7763.2549256079574</v>
      </c>
      <c r="F272" s="2">
        <f t="shared" si="150"/>
        <v>59</v>
      </c>
      <c r="G272" s="24">
        <f t="shared" si="151"/>
        <v>28536.025023890856</v>
      </c>
      <c r="H272" s="25">
        <f t="shared" si="152"/>
        <v>160595.86382279266</v>
      </c>
      <c r="I272" s="2">
        <f t="shared" si="145"/>
        <v>33403.939675140879</v>
      </c>
      <c r="J272" s="2">
        <f t="shared" si="146"/>
        <v>127191.92414765178</v>
      </c>
      <c r="K272" s="2">
        <f t="shared" si="147"/>
        <v>63595.962073825889</v>
      </c>
      <c r="L272" s="2">
        <f t="shared" si="148"/>
        <v>63595.962073825889</v>
      </c>
      <c r="M272" s="27">
        <f t="shared" ref="M272" si="158">(A272+A273+A274)/3</f>
        <v>3200238.4657102977</v>
      </c>
    </row>
    <row r="273" spans="1:13" hidden="1" x14ac:dyDescent="0.3">
      <c r="A273" s="2">
        <f t="shared" si="141"/>
        <v>3199808.4425243293</v>
      </c>
      <c r="B273" s="23">
        <f t="shared" si="153"/>
        <v>9.8500000000000004E-2</v>
      </c>
      <c r="C273" s="2">
        <f t="shared" si="142"/>
        <v>3400756.4127148571</v>
      </c>
      <c r="D273" s="2">
        <f t="shared" si="143"/>
        <v>200947.97019052785</v>
      </c>
      <c r="E273" s="2">
        <f t="shared" si="144"/>
        <v>7920.677826287023</v>
      </c>
      <c r="F273" s="2">
        <f t="shared" si="150"/>
        <v>59</v>
      </c>
      <c r="G273" s="24">
        <f t="shared" si="151"/>
        <v>29114.677132595058</v>
      </c>
      <c r="H273" s="25">
        <f t="shared" si="152"/>
        <v>163853.61523164576</v>
      </c>
      <c r="I273" s="2">
        <f t="shared" si="145"/>
        <v>34081.551968182321</v>
      </c>
      <c r="J273" s="2">
        <f t="shared" si="146"/>
        <v>129772.06326346344</v>
      </c>
      <c r="K273" s="2">
        <f t="shared" si="147"/>
        <v>64886.031631731719</v>
      </c>
      <c r="L273" s="2">
        <f t="shared" si="148"/>
        <v>64886.031631731719</v>
      </c>
      <c r="M273" s="28"/>
    </row>
    <row r="274" spans="1:13" hidden="1" x14ac:dyDescent="0.3">
      <c r="A274" s="2">
        <f t="shared" si="141"/>
        <v>3264694.4741560612</v>
      </c>
      <c r="B274" s="23">
        <f t="shared" si="153"/>
        <v>9.8500000000000004E-2</v>
      </c>
      <c r="C274" s="2">
        <f t="shared" si="142"/>
        <v>3469717.2871330618</v>
      </c>
      <c r="D274" s="2">
        <f t="shared" si="143"/>
        <v>205022.81297700061</v>
      </c>
      <c r="E274" s="2">
        <f t="shared" si="144"/>
        <v>8081.2941135469473</v>
      </c>
      <c r="F274" s="2">
        <f t="shared" si="150"/>
        <v>59</v>
      </c>
      <c r="G274" s="24">
        <f t="shared" si="151"/>
        <v>29705.067431047701</v>
      </c>
      <c r="H274" s="25">
        <f t="shared" si="152"/>
        <v>167177.45143240594</v>
      </c>
      <c r="I274" s="2">
        <f t="shared" si="145"/>
        <v>34772.909897940437</v>
      </c>
      <c r="J274" s="2">
        <f t="shared" si="146"/>
        <v>132404.5415344655</v>
      </c>
      <c r="K274" s="2">
        <f t="shared" si="147"/>
        <v>66202.270767232752</v>
      </c>
      <c r="L274" s="2">
        <f t="shared" si="148"/>
        <v>66202.270767232752</v>
      </c>
      <c r="M274" s="28"/>
    </row>
    <row r="275" spans="1:13" hidden="1" x14ac:dyDescent="0.3">
      <c r="A275" s="2">
        <f t="shared" si="141"/>
        <v>3330896.7449232941</v>
      </c>
      <c r="B275" s="23">
        <f t="shared" si="153"/>
        <v>9.8500000000000004E-2</v>
      </c>
      <c r="C275" s="2">
        <f t="shared" si="142"/>
        <v>3540077.060504477</v>
      </c>
      <c r="D275" s="2">
        <f t="shared" si="143"/>
        <v>209180.31558118295</v>
      </c>
      <c r="E275" s="2">
        <f t="shared" si="144"/>
        <v>8245.1685665133245</v>
      </c>
      <c r="F275" s="2">
        <f t="shared" si="150"/>
        <v>59</v>
      </c>
      <c r="G275" s="24">
        <f t="shared" si="151"/>
        <v>30307.434033128429</v>
      </c>
      <c r="H275" s="25">
        <f t="shared" si="152"/>
        <v>170568.7129815412</v>
      </c>
      <c r="I275" s="2">
        <f t="shared" si="145"/>
        <v>35478.292300160574</v>
      </c>
      <c r="J275" s="2">
        <f t="shared" si="146"/>
        <v>135090.42068138064</v>
      </c>
      <c r="K275" s="2">
        <f t="shared" si="147"/>
        <v>67545.210340690319</v>
      </c>
      <c r="L275" s="2">
        <f t="shared" si="148"/>
        <v>67545.210340690319</v>
      </c>
      <c r="M275" s="27">
        <f t="shared" ref="M275" si="159">(A275+A276+A277)/3</f>
        <v>3398898.6824774812</v>
      </c>
    </row>
    <row r="276" spans="1:13" hidden="1" x14ac:dyDescent="0.3">
      <c r="A276" s="2">
        <f t="shared" si="141"/>
        <v>3398441.9552639844</v>
      </c>
      <c r="B276" s="23">
        <f t="shared" si="153"/>
        <v>9.8500000000000004E-2</v>
      </c>
      <c r="C276" s="2">
        <f t="shared" si="142"/>
        <v>3611864.1100545623</v>
      </c>
      <c r="D276" s="2">
        <f t="shared" si="143"/>
        <v>213422.15479057794</v>
      </c>
      <c r="E276" s="2">
        <f t="shared" si="144"/>
        <v>8412.3672783822567</v>
      </c>
      <c r="F276" s="2">
        <f t="shared" si="150"/>
        <v>59</v>
      </c>
      <c r="G276" s="24">
        <f t="shared" si="151"/>
        <v>30922.019882952307</v>
      </c>
      <c r="H276" s="25">
        <f t="shared" si="152"/>
        <v>174028.76762924338</v>
      </c>
      <c r="I276" s="2">
        <f t="shared" si="145"/>
        <v>36197.983666882625</v>
      </c>
      <c r="J276" s="2">
        <f t="shared" si="146"/>
        <v>137830.78396236076</v>
      </c>
      <c r="K276" s="2">
        <f t="shared" si="147"/>
        <v>68915.391981180379</v>
      </c>
      <c r="L276" s="2">
        <f t="shared" si="148"/>
        <v>68915.391981180379</v>
      </c>
      <c r="M276" s="28"/>
    </row>
    <row r="277" spans="1:13" hidden="1" x14ac:dyDescent="0.3">
      <c r="A277" s="2">
        <f t="shared" si="141"/>
        <v>3467357.3472451647</v>
      </c>
      <c r="B277" s="23">
        <f t="shared" si="153"/>
        <v>9.8500000000000004E-2</v>
      </c>
      <c r="C277" s="2">
        <f t="shared" si="142"/>
        <v>3685107.3886521608</v>
      </c>
      <c r="D277" s="2">
        <f t="shared" si="143"/>
        <v>217750.04140699608</v>
      </c>
      <c r="E277" s="2">
        <f t="shared" si="144"/>
        <v>8582.9576830767892</v>
      </c>
      <c r="F277" s="2">
        <f t="shared" si="150"/>
        <v>59</v>
      </c>
      <c r="G277" s="24">
        <f t="shared" si="151"/>
        <v>31549.072852853027</v>
      </c>
      <c r="H277" s="25">
        <f t="shared" si="152"/>
        <v>177559.01087106628</v>
      </c>
      <c r="I277" s="2">
        <f t="shared" si="145"/>
        <v>36932.274261181788</v>
      </c>
      <c r="J277" s="2">
        <f t="shared" si="146"/>
        <v>140626.73660988448</v>
      </c>
      <c r="K277" s="2">
        <f t="shared" si="147"/>
        <v>70313.36830494224</v>
      </c>
      <c r="L277" s="2">
        <f t="shared" si="148"/>
        <v>70313.36830494224</v>
      </c>
      <c r="M277" s="28"/>
    </row>
    <row r="278" spans="1:13" hidden="1" x14ac:dyDescent="0.3">
      <c r="A278" s="2">
        <f t="shared" si="141"/>
        <v>3537670.715550107</v>
      </c>
      <c r="B278" s="23">
        <f t="shared" si="153"/>
        <v>9.8500000000000004E-2</v>
      </c>
      <c r="C278" s="2">
        <f t="shared" si="142"/>
        <v>3759836.4364866535</v>
      </c>
      <c r="D278" s="2">
        <f t="shared" si="143"/>
        <v>222165.72093654657</v>
      </c>
      <c r="E278" s="2">
        <f t="shared" si="144"/>
        <v>8757.0085824441121</v>
      </c>
      <c r="F278" s="2">
        <f t="shared" si="150"/>
        <v>59</v>
      </c>
      <c r="G278" s="24">
        <f t="shared" si="151"/>
        <v>32188.845843353873</v>
      </c>
      <c r="H278" s="25">
        <f t="shared" si="152"/>
        <v>181160.8665107486</v>
      </c>
      <c r="I278" s="2">
        <f t="shared" si="145"/>
        <v>37681.46023423571</v>
      </c>
      <c r="J278" s="2">
        <f t="shared" si="146"/>
        <v>143479.40627651289</v>
      </c>
      <c r="K278" s="2">
        <f t="shared" si="147"/>
        <v>71739.703138256446</v>
      </c>
      <c r="L278" s="2">
        <f t="shared" si="148"/>
        <v>71739.703138256446</v>
      </c>
      <c r="M278" s="27">
        <f t="shared" ref="M278" si="160">(A278+A279+A280)/3</f>
        <v>3609895.5082238931</v>
      </c>
    </row>
    <row r="279" spans="1:13" hidden="1" x14ac:dyDescent="0.3">
      <c r="A279" s="2">
        <f t="shared" ref="A279:A280" si="161">A278+L278</f>
        <v>3609410.4186883634</v>
      </c>
      <c r="B279" s="23">
        <f t="shared" si="153"/>
        <v>9.8500000000000004E-2</v>
      </c>
      <c r="C279" s="2">
        <f t="shared" ref="C279:C280" si="162">A279*1.0628</f>
        <v>3836081.3929819926</v>
      </c>
      <c r="D279" s="2">
        <f t="shared" ref="D279:D280" si="163">C279-A279</f>
        <v>226670.97429362917</v>
      </c>
      <c r="E279" s="2">
        <f t="shared" ref="E279:E280" si="164">((A279+C279)*0.0012)</f>
        <v>8934.5901740044264</v>
      </c>
      <c r="F279" s="2">
        <f t="shared" si="150"/>
        <v>59</v>
      </c>
      <c r="G279" s="24">
        <f t="shared" si="151"/>
        <v>32841.596885166487</v>
      </c>
      <c r="H279" s="25">
        <f t="shared" si="152"/>
        <v>184835.78723445826</v>
      </c>
      <c r="I279" s="2">
        <f t="shared" ref="I279:I280" si="165">(H279*0.2)*1.04</f>
        <v>38445.84374476732</v>
      </c>
      <c r="J279" s="2">
        <f t="shared" ref="J279:J280" si="166">H279-I279</f>
        <v>146389.94348969095</v>
      </c>
      <c r="K279" s="2">
        <f t="shared" ref="K279:K280" si="167">J279*0.5</f>
        <v>73194.971744845476</v>
      </c>
      <c r="L279" s="2">
        <f t="shared" ref="L279:L280" si="168">J279-K279</f>
        <v>73194.971744845476</v>
      </c>
      <c r="M279" s="28"/>
    </row>
    <row r="280" spans="1:13" hidden="1" x14ac:dyDescent="0.3">
      <c r="A280" s="2">
        <f t="shared" si="161"/>
        <v>3682605.390433209</v>
      </c>
      <c r="B280" s="23">
        <f t="shared" si="153"/>
        <v>9.8500000000000004E-2</v>
      </c>
      <c r="C280" s="2">
        <f t="shared" si="162"/>
        <v>3913873.0089524146</v>
      </c>
      <c r="D280" s="2">
        <f t="shared" si="163"/>
        <v>231267.6185192056</v>
      </c>
      <c r="E280" s="2">
        <f t="shared" si="164"/>
        <v>9115.7740792627483</v>
      </c>
      <c r="F280" s="2">
        <f t="shared" si="150"/>
        <v>59</v>
      </c>
      <c r="G280" s="24">
        <f t="shared" si="151"/>
        <v>33507.589243258844</v>
      </c>
      <c r="H280" s="25">
        <f t="shared" si="152"/>
        <v>188585.25519668401</v>
      </c>
      <c r="I280" s="2">
        <f t="shared" si="165"/>
        <v>39225.733080910279</v>
      </c>
      <c r="J280" s="2">
        <f t="shared" si="166"/>
        <v>149359.52211577373</v>
      </c>
      <c r="K280" s="2">
        <f t="shared" si="167"/>
        <v>74679.761057886863</v>
      </c>
      <c r="L280" s="2">
        <f t="shared" si="168"/>
        <v>74679.761057886863</v>
      </c>
      <c r="M280" s="28"/>
    </row>
    <row r="281" spans="1:13" hidden="1" x14ac:dyDescent="0.3">
      <c r="A281" s="2">
        <f t="shared" ref="A281:A330" si="169">A280+L280</f>
        <v>3757285.1514910958</v>
      </c>
      <c r="B281" s="23">
        <f t="shared" ref="B281:B330" si="170">B280</f>
        <v>9.8500000000000004E-2</v>
      </c>
      <c r="C281" s="2">
        <f t="shared" ref="C281:C330" si="171">A281*1.0628</f>
        <v>3993242.6590047367</v>
      </c>
      <c r="D281" s="2">
        <f t="shared" ref="D281:D330" si="172">C281-A281</f>
        <v>235957.50751364091</v>
      </c>
      <c r="E281" s="2">
        <f t="shared" ref="E281:E330" si="173">((A281+C281)*0.0012)</f>
        <v>9300.6333725949989</v>
      </c>
      <c r="F281" s="2">
        <f t="shared" si="150"/>
        <v>59</v>
      </c>
      <c r="G281" s="24">
        <f t="shared" ref="G281:G330" si="174">A281 * (17/30) * 8.5 * (B281 / 365 * 7)</f>
        <v>34187.0915230342</v>
      </c>
      <c r="H281" s="25">
        <f t="shared" ref="H281:H330" si="175">D281-E281-F281-G281</f>
        <v>192410.7826180117</v>
      </c>
      <c r="I281" s="2">
        <f t="shared" ref="I281:I330" si="176">(H281*0.2)*1.04</f>
        <v>40021.442784546431</v>
      </c>
      <c r="J281" s="2">
        <f t="shared" ref="J281:J330" si="177">H281-I281</f>
        <v>152389.33983346526</v>
      </c>
      <c r="K281" s="2">
        <f t="shared" ref="K281:K330" si="178">J281*0.5</f>
        <v>76194.66991673263</v>
      </c>
      <c r="L281" s="2">
        <f t="shared" ref="L281:L330" si="179">J281-K281</f>
        <v>76194.66991673263</v>
      </c>
      <c r="M281" s="27">
        <f t="shared" ref="M281:M329" si="180">(A281+A282+A283)/3</f>
        <v>3833995.0345383943</v>
      </c>
    </row>
    <row r="282" spans="1:13" hidden="1" x14ac:dyDescent="0.3">
      <c r="A282" s="2">
        <f t="shared" si="169"/>
        <v>3833479.8214078285</v>
      </c>
      <c r="B282" s="23">
        <f t="shared" si="170"/>
        <v>9.8500000000000004E-2</v>
      </c>
      <c r="C282" s="2">
        <f t="shared" si="171"/>
        <v>4074222.3541922402</v>
      </c>
      <c r="D282" s="2">
        <f t="shared" si="172"/>
        <v>240742.53278441168</v>
      </c>
      <c r="E282" s="2">
        <f t="shared" si="173"/>
        <v>9489.2426107200808</v>
      </c>
      <c r="F282" s="2">
        <f t="shared" si="150"/>
        <v>59</v>
      </c>
      <c r="G282" s="24">
        <f t="shared" si="174"/>
        <v>34880.377778663998</v>
      </c>
      <c r="H282" s="25">
        <f t="shared" si="175"/>
        <v>196313.91239502761</v>
      </c>
      <c r="I282" s="2">
        <f t="shared" si="176"/>
        <v>40833.293778165746</v>
      </c>
      <c r="J282" s="2">
        <f t="shared" si="177"/>
        <v>155480.61861686187</v>
      </c>
      <c r="K282" s="2">
        <f t="shared" si="178"/>
        <v>77740.309308430937</v>
      </c>
      <c r="L282" s="2">
        <f t="shared" si="179"/>
        <v>77740.309308430937</v>
      </c>
      <c r="M282" s="28"/>
    </row>
    <row r="283" spans="1:13" hidden="1" x14ac:dyDescent="0.3">
      <c r="A283" s="2">
        <f t="shared" si="169"/>
        <v>3911220.1307162596</v>
      </c>
      <c r="B283" s="23">
        <f t="shared" si="170"/>
        <v>9.8500000000000004E-2</v>
      </c>
      <c r="C283" s="2">
        <f t="shared" si="171"/>
        <v>4156844.7549252408</v>
      </c>
      <c r="D283" s="2">
        <f t="shared" si="172"/>
        <v>245624.62420898117</v>
      </c>
      <c r="E283" s="2">
        <f t="shared" si="173"/>
        <v>9681.6778627698004</v>
      </c>
      <c r="F283" s="2">
        <f t="shared" si="150"/>
        <v>59</v>
      </c>
      <c r="G283" s="24">
        <f t="shared" si="174"/>
        <v>35587.727623618302</v>
      </c>
      <c r="H283" s="25">
        <f t="shared" si="175"/>
        <v>200296.21872259307</v>
      </c>
      <c r="I283" s="2">
        <f t="shared" si="176"/>
        <v>41661.613494299359</v>
      </c>
      <c r="J283" s="2">
        <f t="shared" si="177"/>
        <v>158634.60522829372</v>
      </c>
      <c r="K283" s="2">
        <f t="shared" si="178"/>
        <v>79317.302614146858</v>
      </c>
      <c r="L283" s="2">
        <f t="shared" si="179"/>
        <v>79317.302614146858</v>
      </c>
      <c r="M283" s="28"/>
    </row>
    <row r="284" spans="1:13" hidden="1" x14ac:dyDescent="0.3">
      <c r="A284" s="2">
        <f t="shared" si="169"/>
        <v>3990537.4333304064</v>
      </c>
      <c r="B284" s="23">
        <f t="shared" si="170"/>
        <v>9.8500000000000004E-2</v>
      </c>
      <c r="C284" s="2">
        <f t="shared" si="171"/>
        <v>4241143.1841435563</v>
      </c>
      <c r="D284" s="2">
        <f t="shared" si="172"/>
        <v>250605.75081314985</v>
      </c>
      <c r="E284" s="2">
        <f t="shared" si="173"/>
        <v>9878.0167409687547</v>
      </c>
      <c r="F284" s="2">
        <f t="shared" si="150"/>
        <v>59</v>
      </c>
      <c r="G284" s="24">
        <f t="shared" si="174"/>
        <v>36309.426343438368</v>
      </c>
      <c r="H284" s="25">
        <f t="shared" si="175"/>
        <v>204359.30772874274</v>
      </c>
      <c r="I284" s="2">
        <f t="shared" si="176"/>
        <v>42506.736007578496</v>
      </c>
      <c r="J284" s="2">
        <f t="shared" si="177"/>
        <v>161852.57172116425</v>
      </c>
      <c r="K284" s="2">
        <f t="shared" si="178"/>
        <v>80926.285860582124</v>
      </c>
      <c r="L284" s="2">
        <f t="shared" si="179"/>
        <v>80926.285860582124</v>
      </c>
      <c r="M284" s="27">
        <f t="shared" si="180"/>
        <v>4072010.9265629593</v>
      </c>
    </row>
    <row r="285" spans="1:13" hidden="1" x14ac:dyDescent="0.3">
      <c r="A285" s="2">
        <f t="shared" si="169"/>
        <v>4071463.7191909887</v>
      </c>
      <c r="B285" s="23">
        <f t="shared" si="170"/>
        <v>9.8500000000000004E-2</v>
      </c>
      <c r="C285" s="2">
        <f t="shared" si="171"/>
        <v>4327151.6407561824</v>
      </c>
      <c r="D285" s="2">
        <f t="shared" si="172"/>
        <v>255687.92156519368</v>
      </c>
      <c r="E285" s="2">
        <f t="shared" si="173"/>
        <v>10078.338431936605</v>
      </c>
      <c r="F285" s="2">
        <f t="shared" si="150"/>
        <v>59</v>
      </c>
      <c r="G285" s="24">
        <f t="shared" si="174"/>
        <v>37045.765010796888</v>
      </c>
      <c r="H285" s="25">
        <f t="shared" si="175"/>
        <v>208504.81812246019</v>
      </c>
      <c r="I285" s="2">
        <f t="shared" si="176"/>
        <v>43369.002169471722</v>
      </c>
      <c r="J285" s="2">
        <f t="shared" si="177"/>
        <v>165135.81595298846</v>
      </c>
      <c r="K285" s="2">
        <f t="shared" si="178"/>
        <v>82567.907976494229</v>
      </c>
      <c r="L285" s="2">
        <f t="shared" si="179"/>
        <v>82567.907976494229</v>
      </c>
      <c r="M285" s="28"/>
    </row>
    <row r="286" spans="1:13" hidden="1" x14ac:dyDescent="0.3">
      <c r="A286" s="2">
        <f t="shared" si="169"/>
        <v>4154031.6271674829</v>
      </c>
      <c r="B286" s="23">
        <f t="shared" si="170"/>
        <v>9.8500000000000004E-2</v>
      </c>
      <c r="C286" s="2">
        <f t="shared" si="171"/>
        <v>4414904.8133536009</v>
      </c>
      <c r="D286" s="2">
        <f t="shared" si="172"/>
        <v>260873.18618611805</v>
      </c>
      <c r="E286" s="2">
        <f t="shared" si="173"/>
        <v>10282.7237286253</v>
      </c>
      <c r="F286" s="2">
        <f t="shared" si="150"/>
        <v>59</v>
      </c>
      <c r="G286" s="24">
        <f t="shared" si="174"/>
        <v>37797.040602892324</v>
      </c>
      <c r="H286" s="25">
        <f t="shared" si="175"/>
        <v>212734.42185460043</v>
      </c>
      <c r="I286" s="2">
        <f t="shared" si="176"/>
        <v>44248.759745756892</v>
      </c>
      <c r="J286" s="2">
        <f t="shared" si="177"/>
        <v>168485.66210884353</v>
      </c>
      <c r="K286" s="2">
        <f t="shared" si="178"/>
        <v>84242.831054421767</v>
      </c>
      <c r="L286" s="2">
        <f t="shared" si="179"/>
        <v>84242.831054421767</v>
      </c>
      <c r="M286" s="28"/>
    </row>
    <row r="287" spans="1:13" hidden="1" x14ac:dyDescent="0.3">
      <c r="A287" s="2">
        <f t="shared" si="169"/>
        <v>4238274.4582219049</v>
      </c>
      <c r="B287" s="23">
        <f t="shared" si="170"/>
        <v>9.8500000000000004E-2</v>
      </c>
      <c r="C287" s="2">
        <f t="shared" si="171"/>
        <v>4504438.09419824</v>
      </c>
      <c r="D287" s="2">
        <f t="shared" si="172"/>
        <v>266163.63597633503</v>
      </c>
      <c r="E287" s="2">
        <f t="shared" si="173"/>
        <v>10491.255062904173</v>
      </c>
      <c r="F287" s="2">
        <f t="shared" si="150"/>
        <v>59</v>
      </c>
      <c r="G287" s="24">
        <f t="shared" si="174"/>
        <v>38563.556121224516</v>
      </c>
      <c r="H287" s="25">
        <f t="shared" si="175"/>
        <v>217049.82479220635</v>
      </c>
      <c r="I287" s="2">
        <f t="shared" si="176"/>
        <v>45146.363556778924</v>
      </c>
      <c r="J287" s="2">
        <f t="shared" si="177"/>
        <v>171903.46123542741</v>
      </c>
      <c r="K287" s="2">
        <f t="shared" si="178"/>
        <v>85951.730617713707</v>
      </c>
      <c r="L287" s="2">
        <f t="shared" si="179"/>
        <v>85951.730617713707</v>
      </c>
      <c r="M287" s="27">
        <f t="shared" si="180"/>
        <v>4324807.3772647083</v>
      </c>
    </row>
    <row r="288" spans="1:13" hidden="1" x14ac:dyDescent="0.3">
      <c r="A288" s="2">
        <f t="shared" si="169"/>
        <v>4324226.188839619</v>
      </c>
      <c r="B288" s="23">
        <f t="shared" si="170"/>
        <v>9.8500000000000004E-2</v>
      </c>
      <c r="C288" s="2">
        <f t="shared" si="171"/>
        <v>4595787.5934987469</v>
      </c>
      <c r="D288" s="2">
        <f t="shared" si="172"/>
        <v>271561.40465912782</v>
      </c>
      <c r="E288" s="2">
        <f t="shared" si="173"/>
        <v>10704.016538806038</v>
      </c>
      <c r="F288" s="2">
        <f t="shared" si="150"/>
        <v>59</v>
      </c>
      <c r="G288" s="24">
        <f t="shared" si="174"/>
        <v>39345.620713800046</v>
      </c>
      <c r="H288" s="25">
        <f t="shared" si="175"/>
        <v>221452.76740652174</v>
      </c>
      <c r="I288" s="2">
        <f t="shared" si="176"/>
        <v>46062.175620556525</v>
      </c>
      <c r="J288" s="2">
        <f t="shared" si="177"/>
        <v>175390.59178596523</v>
      </c>
      <c r="K288" s="2">
        <f t="shared" si="178"/>
        <v>87695.295892982613</v>
      </c>
      <c r="L288" s="2">
        <f t="shared" si="179"/>
        <v>87695.295892982613</v>
      </c>
      <c r="M288" s="28"/>
    </row>
    <row r="289" spans="1:13" hidden="1" x14ac:dyDescent="0.3">
      <c r="A289" s="2">
        <f t="shared" si="169"/>
        <v>4411921.4847326018</v>
      </c>
      <c r="B289" s="23">
        <f t="shared" si="170"/>
        <v>9.8500000000000004E-2</v>
      </c>
      <c r="C289" s="2">
        <f t="shared" si="171"/>
        <v>4688990.1539738094</v>
      </c>
      <c r="D289" s="2">
        <f t="shared" si="172"/>
        <v>277068.66924120765</v>
      </c>
      <c r="E289" s="2">
        <f t="shared" si="173"/>
        <v>10921.093966447694</v>
      </c>
      <c r="F289" s="2">
        <f t="shared" si="150"/>
        <v>59</v>
      </c>
      <c r="G289" s="24">
        <f t="shared" si="174"/>
        <v>40143.549799816639</v>
      </c>
      <c r="H289" s="25">
        <f t="shared" si="175"/>
        <v>225945.02547494334</v>
      </c>
      <c r="I289" s="2">
        <f t="shared" si="176"/>
        <v>46996.56529878822</v>
      </c>
      <c r="J289" s="2">
        <f t="shared" si="177"/>
        <v>178948.46017615512</v>
      </c>
      <c r="K289" s="2">
        <f t="shared" si="178"/>
        <v>89474.230088077558</v>
      </c>
      <c r="L289" s="2">
        <f t="shared" si="179"/>
        <v>89474.230088077558</v>
      </c>
      <c r="M289" s="28"/>
    </row>
    <row r="290" spans="1:13" hidden="1" x14ac:dyDescent="0.3">
      <c r="A290" s="2">
        <f t="shared" si="169"/>
        <v>4501395.7148206793</v>
      </c>
      <c r="B290" s="23">
        <f t="shared" si="170"/>
        <v>9.8500000000000004E-2</v>
      </c>
      <c r="C290" s="2">
        <f t="shared" si="171"/>
        <v>4784083.365711418</v>
      </c>
      <c r="D290" s="2">
        <f t="shared" si="172"/>
        <v>282687.6508907387</v>
      </c>
      <c r="E290" s="2">
        <f t="shared" si="173"/>
        <v>11142.574896638514</v>
      </c>
      <c r="F290" s="2">
        <f t="shared" si="150"/>
        <v>59</v>
      </c>
      <c r="G290" s="24">
        <f t="shared" si="174"/>
        <v>40957.665196876718</v>
      </c>
      <c r="H290" s="25">
        <f t="shared" si="175"/>
        <v>230528.41079722348</v>
      </c>
      <c r="I290" s="2">
        <f t="shared" si="176"/>
        <v>47949.909445822486</v>
      </c>
      <c r="J290" s="2">
        <f t="shared" si="177"/>
        <v>182578.50135140098</v>
      </c>
      <c r="K290" s="2">
        <f t="shared" si="178"/>
        <v>91289.250675700489</v>
      </c>
      <c r="L290" s="2">
        <f t="shared" si="179"/>
        <v>91289.250675700489</v>
      </c>
      <c r="M290" s="27">
        <f t="shared" si="180"/>
        <v>4593302.2451654049</v>
      </c>
    </row>
    <row r="291" spans="1:13" hidden="1" x14ac:dyDescent="0.3">
      <c r="A291" s="2">
        <f t="shared" si="169"/>
        <v>4592684.9654963799</v>
      </c>
      <c r="B291" s="23">
        <f t="shared" si="170"/>
        <v>9.8500000000000004E-2</v>
      </c>
      <c r="C291" s="2">
        <f t="shared" si="171"/>
        <v>4881105.5813295525</v>
      </c>
      <c r="D291" s="2">
        <f t="shared" si="172"/>
        <v>288420.61583317257</v>
      </c>
      <c r="E291" s="2">
        <f t="shared" si="173"/>
        <v>11368.548656191118</v>
      </c>
      <c r="F291" s="2">
        <f t="shared" si="150"/>
        <v>59</v>
      </c>
      <c r="G291" s="24">
        <f t="shared" si="174"/>
        <v>41788.295250781681</v>
      </c>
      <c r="H291" s="25">
        <f t="shared" si="175"/>
        <v>235204.77192619978</v>
      </c>
      <c r="I291" s="2">
        <f t="shared" si="176"/>
        <v>48922.592560649558</v>
      </c>
      <c r="J291" s="2">
        <f t="shared" si="177"/>
        <v>186282.17936555023</v>
      </c>
      <c r="K291" s="2">
        <f t="shared" si="178"/>
        <v>93141.089682775113</v>
      </c>
      <c r="L291" s="2">
        <f t="shared" si="179"/>
        <v>93141.089682775113</v>
      </c>
      <c r="M291" s="28"/>
    </row>
    <row r="292" spans="1:13" hidden="1" x14ac:dyDescent="0.3">
      <c r="A292" s="2">
        <f t="shared" si="169"/>
        <v>4685826.0551791554</v>
      </c>
      <c r="B292" s="23">
        <f t="shared" si="170"/>
        <v>9.8500000000000004E-2</v>
      </c>
      <c r="C292" s="2">
        <f t="shared" si="171"/>
        <v>4980095.9314444065</v>
      </c>
      <c r="D292" s="2">
        <f t="shared" si="172"/>
        <v>294269.87626525108</v>
      </c>
      <c r="E292" s="2">
        <f t="shared" si="173"/>
        <v>11599.106383948274</v>
      </c>
      <c r="F292" s="2">
        <f t="shared" si="150"/>
        <v>59</v>
      </c>
      <c r="G292" s="24">
        <f t="shared" si="174"/>
        <v>42635.774967958998</v>
      </c>
      <c r="H292" s="25">
        <f t="shared" si="175"/>
        <v>239975.99491334378</v>
      </c>
      <c r="I292" s="2">
        <f t="shared" si="176"/>
        <v>49915.006941975509</v>
      </c>
      <c r="J292" s="2">
        <f t="shared" si="177"/>
        <v>190060.98797136827</v>
      </c>
      <c r="K292" s="2">
        <f t="shared" si="178"/>
        <v>95030.493985684137</v>
      </c>
      <c r="L292" s="2">
        <f t="shared" si="179"/>
        <v>95030.493985684137</v>
      </c>
      <c r="M292" s="28"/>
    </row>
    <row r="293" spans="1:13" hidden="1" x14ac:dyDescent="0.3">
      <c r="A293" s="2">
        <f t="shared" si="169"/>
        <v>4780856.54916484</v>
      </c>
      <c r="B293" s="23">
        <f t="shared" si="170"/>
        <v>9.8500000000000004E-2</v>
      </c>
      <c r="C293" s="2">
        <f t="shared" si="171"/>
        <v>5081094.3404523917</v>
      </c>
      <c r="D293" s="2">
        <f t="shared" si="172"/>
        <v>300237.79128755163</v>
      </c>
      <c r="E293" s="2">
        <f t="shared" si="173"/>
        <v>11834.341067540676</v>
      </c>
      <c r="F293" s="2">
        <f t="shared" si="150"/>
        <v>59</v>
      </c>
      <c r="G293" s="24">
        <f t="shared" si="174"/>
        <v>43500.446150575634</v>
      </c>
      <c r="H293" s="25">
        <f t="shared" si="175"/>
        <v>244844.00406943529</v>
      </c>
      <c r="I293" s="2">
        <f t="shared" si="176"/>
        <v>50927.552846442552</v>
      </c>
      <c r="J293" s="2">
        <f t="shared" si="177"/>
        <v>193916.45122299273</v>
      </c>
      <c r="K293" s="2">
        <f t="shared" si="178"/>
        <v>96958.225611496367</v>
      </c>
      <c r="L293" s="2">
        <f t="shared" si="179"/>
        <v>96958.225611496367</v>
      </c>
      <c r="M293" s="27">
        <f t="shared" si="180"/>
        <v>4878470.3869209401</v>
      </c>
    </row>
    <row r="294" spans="1:13" hidden="1" x14ac:dyDescent="0.3">
      <c r="A294" s="2">
        <f t="shared" si="169"/>
        <v>4877814.7747763367</v>
      </c>
      <c r="B294" s="23">
        <f t="shared" si="170"/>
        <v>9.8500000000000004E-2</v>
      </c>
      <c r="C294" s="2">
        <f t="shared" si="171"/>
        <v>5184141.5426322902</v>
      </c>
      <c r="D294" s="2">
        <f t="shared" si="172"/>
        <v>306326.76785595343</v>
      </c>
      <c r="E294" s="2">
        <f t="shared" si="173"/>
        <v>12074.347580890351</v>
      </c>
      <c r="F294" s="2">
        <f t="shared" si="150"/>
        <v>59</v>
      </c>
      <c r="G294" s="24">
        <f t="shared" si="174"/>
        <v>44382.657534392427</v>
      </c>
      <c r="H294" s="25">
        <f t="shared" si="175"/>
        <v>249810.76274067065</v>
      </c>
      <c r="I294" s="2">
        <f t="shared" si="176"/>
        <v>51960.638650059496</v>
      </c>
      <c r="J294" s="2">
        <f t="shared" si="177"/>
        <v>197850.12409061115</v>
      </c>
      <c r="K294" s="2">
        <f t="shared" si="178"/>
        <v>98925.062045305574</v>
      </c>
      <c r="L294" s="2">
        <f t="shared" si="179"/>
        <v>98925.062045305574</v>
      </c>
      <c r="M294" s="28"/>
    </row>
    <row r="295" spans="1:13" hidden="1" x14ac:dyDescent="0.3">
      <c r="A295" s="2">
        <f t="shared" si="169"/>
        <v>4976739.8368216427</v>
      </c>
      <c r="B295" s="23">
        <f t="shared" si="170"/>
        <v>9.8500000000000004E-2</v>
      </c>
      <c r="C295" s="2">
        <f t="shared" si="171"/>
        <v>5289279.0985740414</v>
      </c>
      <c r="D295" s="2">
        <f t="shared" si="172"/>
        <v>312539.26175239868</v>
      </c>
      <c r="E295" s="2">
        <f t="shared" si="173"/>
        <v>12319.22272247482</v>
      </c>
      <c r="F295" s="2">
        <f t="shared" si="150"/>
        <v>59</v>
      </c>
      <c r="G295" s="24">
        <f t="shared" si="174"/>
        <v>45282.764929414756</v>
      </c>
      <c r="H295" s="25">
        <f t="shared" si="175"/>
        <v>254878.27410050909</v>
      </c>
      <c r="I295" s="2">
        <f t="shared" si="176"/>
        <v>53014.681012905901</v>
      </c>
      <c r="J295" s="2">
        <f t="shared" si="177"/>
        <v>201863.59308760319</v>
      </c>
      <c r="K295" s="2">
        <f t="shared" si="178"/>
        <v>100931.7965438016</v>
      </c>
      <c r="L295" s="2">
        <f t="shared" si="179"/>
        <v>100931.7965438016</v>
      </c>
      <c r="M295" s="28"/>
    </row>
    <row r="296" spans="1:13" hidden="1" x14ac:dyDescent="0.3">
      <c r="A296" s="2">
        <f t="shared" si="169"/>
        <v>5077671.6333654439</v>
      </c>
      <c r="B296" s="23">
        <f t="shared" si="170"/>
        <v>9.8500000000000004E-2</v>
      </c>
      <c r="C296" s="2">
        <f t="shared" si="171"/>
        <v>5396549.4119407935</v>
      </c>
      <c r="D296" s="2">
        <f t="shared" si="172"/>
        <v>318877.7785753496</v>
      </c>
      <c r="E296" s="2">
        <f t="shared" si="173"/>
        <v>12569.065254367484</v>
      </c>
      <c r="F296" s="2">
        <f t="shared" si="150"/>
        <v>59</v>
      </c>
      <c r="G296" s="24">
        <f t="shared" si="174"/>
        <v>46201.131363396431</v>
      </c>
      <c r="H296" s="25">
        <f t="shared" si="175"/>
        <v>260048.5819575857</v>
      </c>
      <c r="I296" s="2">
        <f t="shared" si="176"/>
        <v>54090.105047177829</v>
      </c>
      <c r="J296" s="2">
        <f t="shared" si="177"/>
        <v>205958.47691040789</v>
      </c>
      <c r="K296" s="2">
        <f t="shared" si="178"/>
        <v>102979.23845520394</v>
      </c>
      <c r="L296" s="2">
        <f t="shared" si="179"/>
        <v>102979.23845520394</v>
      </c>
      <c r="M296" s="27">
        <f t="shared" si="180"/>
        <v>5181347.1968508083</v>
      </c>
    </row>
    <row r="297" spans="1:13" hidden="1" x14ac:dyDescent="0.3">
      <c r="A297" s="2">
        <f t="shared" si="169"/>
        <v>5180650.8718206482</v>
      </c>
      <c r="B297" s="23">
        <f t="shared" si="170"/>
        <v>9.8500000000000004E-2</v>
      </c>
      <c r="C297" s="2">
        <f t="shared" si="171"/>
        <v>5505995.7465709848</v>
      </c>
      <c r="D297" s="2">
        <f t="shared" si="172"/>
        <v>325344.87475033663</v>
      </c>
      <c r="E297" s="2">
        <f t="shared" si="173"/>
        <v>12823.975942069959</v>
      </c>
      <c r="F297" s="2">
        <f t="shared" si="150"/>
        <v>59</v>
      </c>
      <c r="G297" s="24">
        <f t="shared" si="174"/>
        <v>47138.127228254678</v>
      </c>
      <c r="H297" s="25">
        <f t="shared" si="175"/>
        <v>265323.77158001199</v>
      </c>
      <c r="I297" s="2">
        <f t="shared" si="176"/>
        <v>55187.344488642499</v>
      </c>
      <c r="J297" s="2">
        <f t="shared" si="177"/>
        <v>210136.42709136949</v>
      </c>
      <c r="K297" s="2">
        <f t="shared" si="178"/>
        <v>105068.21354568475</v>
      </c>
      <c r="L297" s="2">
        <f t="shared" si="179"/>
        <v>105068.21354568475</v>
      </c>
      <c r="M297" s="28"/>
    </row>
    <row r="298" spans="1:13" hidden="1" x14ac:dyDescent="0.3">
      <c r="A298" s="2">
        <f t="shared" si="169"/>
        <v>5285719.0853663329</v>
      </c>
      <c r="B298" s="23">
        <f t="shared" si="170"/>
        <v>9.8500000000000004E-2</v>
      </c>
      <c r="C298" s="2">
        <f t="shared" si="171"/>
        <v>5617662.2439273382</v>
      </c>
      <c r="D298" s="2">
        <f t="shared" si="172"/>
        <v>331943.15856100526</v>
      </c>
      <c r="E298" s="2">
        <f t="shared" si="173"/>
        <v>13084.057595152406</v>
      </c>
      <c r="F298" s="2">
        <f t="shared" si="150"/>
        <v>59</v>
      </c>
      <c r="G298" s="24">
        <f t="shared" si="174"/>
        <v>48094.130429455021</v>
      </c>
      <c r="H298" s="25">
        <f t="shared" si="175"/>
        <v>270705.97053639783</v>
      </c>
      <c r="I298" s="2">
        <f t="shared" si="176"/>
        <v>56306.841871570752</v>
      </c>
      <c r="J298" s="2">
        <f t="shared" si="177"/>
        <v>214399.12866482709</v>
      </c>
      <c r="K298" s="2">
        <f t="shared" si="178"/>
        <v>107199.56433241355</v>
      </c>
      <c r="L298" s="2">
        <f t="shared" si="179"/>
        <v>107199.56433241355</v>
      </c>
      <c r="M298" s="28"/>
    </row>
    <row r="299" spans="1:13" hidden="1" x14ac:dyDescent="0.3">
      <c r="A299" s="2">
        <f t="shared" si="169"/>
        <v>5392918.6496987464</v>
      </c>
      <c r="B299" s="23">
        <f t="shared" si="170"/>
        <v>9.8500000000000004E-2</v>
      </c>
      <c r="C299" s="2">
        <f t="shared" si="171"/>
        <v>5731593.9408998275</v>
      </c>
      <c r="D299" s="2">
        <f t="shared" si="172"/>
        <v>338675.29120108113</v>
      </c>
      <c r="E299" s="2">
        <f t="shared" si="173"/>
        <v>13349.415108718287</v>
      </c>
      <c r="F299" s="2">
        <f t="shared" si="150"/>
        <v>59</v>
      </c>
      <c r="G299" s="24">
        <f t="shared" si="174"/>
        <v>49069.526538426733</v>
      </c>
      <c r="H299" s="25">
        <f t="shared" si="175"/>
        <v>276197.3495539361</v>
      </c>
      <c r="I299" s="2">
        <f t="shared" si="176"/>
        <v>57449.04870721871</v>
      </c>
      <c r="J299" s="2">
        <f t="shared" si="177"/>
        <v>218748.30084671738</v>
      </c>
      <c r="K299" s="2">
        <f t="shared" si="178"/>
        <v>109374.15042335869</v>
      </c>
      <c r="L299" s="2">
        <f t="shared" si="179"/>
        <v>109374.15042335869</v>
      </c>
      <c r="M299" s="27">
        <f t="shared" si="180"/>
        <v>5503032.3662689785</v>
      </c>
    </row>
    <row r="300" spans="1:13" hidden="1" x14ac:dyDescent="0.3">
      <c r="A300" s="2">
        <f t="shared" si="169"/>
        <v>5502292.8001221055</v>
      </c>
      <c r="B300" s="23">
        <f t="shared" si="170"/>
        <v>9.8500000000000004E-2</v>
      </c>
      <c r="C300" s="2">
        <f t="shared" si="171"/>
        <v>5847836.7879697736</v>
      </c>
      <c r="D300" s="2">
        <f t="shared" si="172"/>
        <v>345543.98784766812</v>
      </c>
      <c r="E300" s="2">
        <f t="shared" si="173"/>
        <v>13620.155505710254</v>
      </c>
      <c r="F300" s="2">
        <f t="shared" si="150"/>
        <v>59</v>
      </c>
      <c r="G300" s="24">
        <f t="shared" si="174"/>
        <v>50064.708948069929</v>
      </c>
      <c r="H300" s="25">
        <f t="shared" si="175"/>
        <v>281800.12339388789</v>
      </c>
      <c r="I300" s="2">
        <f t="shared" si="176"/>
        <v>58614.425665928691</v>
      </c>
      <c r="J300" s="2">
        <f t="shared" si="177"/>
        <v>223185.6977279592</v>
      </c>
      <c r="K300" s="2">
        <f t="shared" si="178"/>
        <v>111592.8488639796</v>
      </c>
      <c r="L300" s="2">
        <f t="shared" si="179"/>
        <v>111592.8488639796</v>
      </c>
      <c r="M300" s="28"/>
    </row>
    <row r="301" spans="1:13" hidden="1" x14ac:dyDescent="0.3">
      <c r="A301" s="2">
        <f t="shared" si="169"/>
        <v>5613885.6489860853</v>
      </c>
      <c r="B301" s="23">
        <f t="shared" si="170"/>
        <v>9.8500000000000004E-2</v>
      </c>
      <c r="C301" s="2">
        <f t="shared" si="171"/>
        <v>5966437.6677424116</v>
      </c>
      <c r="D301" s="2">
        <f t="shared" si="172"/>
        <v>352552.01875632629</v>
      </c>
      <c r="E301" s="2">
        <f t="shared" si="173"/>
        <v>13896.387980074194</v>
      </c>
      <c r="F301" s="2">
        <f t="shared" si="150"/>
        <v>59</v>
      </c>
      <c r="G301" s="24">
        <f t="shared" si="174"/>
        <v>51080.079031417205</v>
      </c>
      <c r="H301" s="25">
        <f t="shared" si="175"/>
        <v>287516.55174483487</v>
      </c>
      <c r="I301" s="2">
        <f t="shared" si="176"/>
        <v>59803.442762925653</v>
      </c>
      <c r="J301" s="2">
        <f t="shared" si="177"/>
        <v>227713.10898190923</v>
      </c>
      <c r="K301" s="2">
        <f t="shared" si="178"/>
        <v>113856.55449095462</v>
      </c>
      <c r="L301" s="2">
        <f t="shared" si="179"/>
        <v>113856.55449095462</v>
      </c>
      <c r="M301" s="28"/>
    </row>
    <row r="302" spans="1:13" hidden="1" x14ac:dyDescent="0.3">
      <c r="A302" s="2">
        <f t="shared" si="169"/>
        <v>5727742.2034770399</v>
      </c>
      <c r="B302" s="23">
        <f t="shared" si="170"/>
        <v>9.8500000000000004E-2</v>
      </c>
      <c r="C302" s="2">
        <f t="shared" si="171"/>
        <v>6087444.4138553981</v>
      </c>
      <c r="D302" s="2">
        <f t="shared" si="172"/>
        <v>359702.21037835814</v>
      </c>
      <c r="E302" s="2">
        <f t="shared" si="173"/>
        <v>14178.223940798924</v>
      </c>
      <c r="F302" s="2">
        <f t="shared" si="150"/>
        <v>59</v>
      </c>
      <c r="G302" s="24">
        <f t="shared" si="174"/>
        <v>52116.046303513882</v>
      </c>
      <c r="H302" s="25">
        <f t="shared" si="175"/>
        <v>293348.94013404538</v>
      </c>
      <c r="I302" s="2">
        <f t="shared" si="176"/>
        <v>61016.579547881447</v>
      </c>
      <c r="J302" s="2">
        <f t="shared" si="177"/>
        <v>232332.36058616394</v>
      </c>
      <c r="K302" s="2">
        <f t="shared" si="178"/>
        <v>116166.18029308197</v>
      </c>
      <c r="L302" s="2">
        <f t="shared" si="179"/>
        <v>116166.18029308197</v>
      </c>
      <c r="M302" s="27">
        <f t="shared" si="180"/>
        <v>5844693.8762655966</v>
      </c>
    </row>
    <row r="303" spans="1:13" hidden="1" x14ac:dyDescent="0.3">
      <c r="A303" s="2">
        <f t="shared" si="169"/>
        <v>5843908.3837701222</v>
      </c>
      <c r="B303" s="23">
        <f t="shared" si="170"/>
        <v>9.8500000000000004E-2</v>
      </c>
      <c r="C303" s="2">
        <f t="shared" si="171"/>
        <v>6210905.8302708855</v>
      </c>
      <c r="D303" s="2">
        <f t="shared" si="172"/>
        <v>366997.4465007633</v>
      </c>
      <c r="E303" s="2">
        <f t="shared" si="173"/>
        <v>14465.777056849209</v>
      </c>
      <c r="F303" s="2">
        <f t="shared" si="150"/>
        <v>59</v>
      </c>
      <c r="G303" s="24">
        <f t="shared" si="174"/>
        <v>53173.028586581982</v>
      </c>
      <c r="H303" s="25">
        <f t="shared" si="175"/>
        <v>299299.6408573321</v>
      </c>
      <c r="I303" s="2">
        <f t="shared" si="176"/>
        <v>62254.325298325086</v>
      </c>
      <c r="J303" s="2">
        <f t="shared" si="177"/>
        <v>237045.31555900699</v>
      </c>
      <c r="K303" s="2">
        <f t="shared" si="178"/>
        <v>118522.6577795035</v>
      </c>
      <c r="L303" s="2">
        <f t="shared" si="179"/>
        <v>118522.6577795035</v>
      </c>
      <c r="M303" s="28"/>
    </row>
    <row r="304" spans="1:13" hidden="1" x14ac:dyDescent="0.3">
      <c r="A304" s="2">
        <f t="shared" si="169"/>
        <v>5962431.0415496258</v>
      </c>
      <c r="B304" s="23">
        <f t="shared" si="170"/>
        <v>9.8500000000000004E-2</v>
      </c>
      <c r="C304" s="2">
        <f t="shared" si="171"/>
        <v>6336871.7109589418</v>
      </c>
      <c r="D304" s="2">
        <f t="shared" si="172"/>
        <v>374440.66940931603</v>
      </c>
      <c r="E304" s="2">
        <f t="shared" si="173"/>
        <v>14759.16330301028</v>
      </c>
      <c r="F304" s="2">
        <f t="shared" si="150"/>
        <v>59</v>
      </c>
      <c r="G304" s="24">
        <f t="shared" si="174"/>
        <v>54251.452178534564</v>
      </c>
      <c r="H304" s="25">
        <f t="shared" si="175"/>
        <v>305371.05392777117</v>
      </c>
      <c r="I304" s="2">
        <f t="shared" si="176"/>
        <v>63517.179216976408</v>
      </c>
      <c r="J304" s="2">
        <f t="shared" si="177"/>
        <v>241853.87471079477</v>
      </c>
      <c r="K304" s="2">
        <f t="shared" si="178"/>
        <v>120926.93735539739</v>
      </c>
      <c r="L304" s="2">
        <f t="shared" si="179"/>
        <v>120926.93735539739</v>
      </c>
      <c r="M304" s="28"/>
    </row>
    <row r="305" spans="1:13" hidden="1" x14ac:dyDescent="0.3">
      <c r="A305" s="2">
        <f t="shared" si="169"/>
        <v>6083357.9789050231</v>
      </c>
      <c r="B305" s="23">
        <f t="shared" si="170"/>
        <v>9.8500000000000004E-2</v>
      </c>
      <c r="C305" s="2">
        <f t="shared" si="171"/>
        <v>6465392.8599802582</v>
      </c>
      <c r="D305" s="2">
        <f t="shared" si="172"/>
        <v>382034.88107523508</v>
      </c>
      <c r="E305" s="2">
        <f t="shared" si="173"/>
        <v>15058.501006662336</v>
      </c>
      <c r="F305" s="2">
        <f t="shared" si="150"/>
        <v>59</v>
      </c>
      <c r="G305" s="24">
        <f t="shared" si="174"/>
        <v>55351.752024908623</v>
      </c>
      <c r="H305" s="25">
        <f t="shared" si="175"/>
        <v>311565.62804366415</v>
      </c>
      <c r="I305" s="2">
        <f t="shared" si="176"/>
        <v>64805.65063308215</v>
      </c>
      <c r="J305" s="2">
        <f t="shared" si="177"/>
        <v>246759.97741058201</v>
      </c>
      <c r="K305" s="2">
        <f t="shared" si="178"/>
        <v>123379.98870529101</v>
      </c>
      <c r="L305" s="2">
        <f t="shared" si="179"/>
        <v>123379.98870529101</v>
      </c>
      <c r="M305" s="27">
        <f t="shared" si="180"/>
        <v>6207572.2384366011</v>
      </c>
    </row>
    <row r="306" spans="1:13" hidden="1" x14ac:dyDescent="0.3">
      <c r="A306" s="2">
        <f t="shared" si="169"/>
        <v>6206737.9676103145</v>
      </c>
      <c r="B306" s="23">
        <f t="shared" si="170"/>
        <v>9.8500000000000004E-2</v>
      </c>
      <c r="C306" s="2">
        <f t="shared" si="171"/>
        <v>6596521.1119762417</v>
      </c>
      <c r="D306" s="2">
        <f t="shared" si="172"/>
        <v>389783.1443659272</v>
      </c>
      <c r="E306" s="2">
        <f t="shared" si="173"/>
        <v>15363.910895503866</v>
      </c>
      <c r="F306" s="2">
        <f t="shared" si="150"/>
        <v>59</v>
      </c>
      <c r="G306" s="24">
        <f t="shared" si="174"/>
        <v>56474.371894285527</v>
      </c>
      <c r="H306" s="25">
        <f t="shared" si="175"/>
        <v>317885.86157613777</v>
      </c>
      <c r="I306" s="2">
        <f t="shared" si="176"/>
        <v>66120.259207836658</v>
      </c>
      <c r="J306" s="2">
        <f t="shared" si="177"/>
        <v>251765.60236830113</v>
      </c>
      <c r="K306" s="2">
        <f t="shared" si="178"/>
        <v>125882.80118415056</v>
      </c>
      <c r="L306" s="2">
        <f t="shared" si="179"/>
        <v>125882.80118415056</v>
      </c>
      <c r="M306" s="28"/>
    </row>
    <row r="307" spans="1:13" hidden="1" x14ac:dyDescent="0.3">
      <c r="A307" s="2">
        <f t="shared" si="169"/>
        <v>6332620.7687944649</v>
      </c>
      <c r="B307" s="23">
        <f t="shared" si="170"/>
        <v>9.8500000000000004E-2</v>
      </c>
      <c r="C307" s="2">
        <f t="shared" si="171"/>
        <v>6730309.3530747574</v>
      </c>
      <c r="D307" s="2">
        <f t="shared" si="172"/>
        <v>397688.5842802925</v>
      </c>
      <c r="E307" s="2">
        <f t="shared" si="173"/>
        <v>15675.516146243064</v>
      </c>
      <c r="F307" s="2">
        <f t="shared" si="150"/>
        <v>59</v>
      </c>
      <c r="G307" s="24">
        <f t="shared" si="174"/>
        <v>57619.76455727002</v>
      </c>
      <c r="H307" s="25">
        <f t="shared" si="175"/>
        <v>324334.30357677938</v>
      </c>
      <c r="I307" s="2">
        <f t="shared" si="176"/>
        <v>67461.535143970119</v>
      </c>
      <c r="J307" s="2">
        <f t="shared" si="177"/>
        <v>256872.76843280927</v>
      </c>
      <c r="K307" s="2">
        <f t="shared" si="178"/>
        <v>128436.38421640464</v>
      </c>
      <c r="L307" s="2">
        <f t="shared" si="179"/>
        <v>128436.38421640464</v>
      </c>
      <c r="M307" s="28"/>
    </row>
    <row r="308" spans="1:13" hidden="1" x14ac:dyDescent="0.3">
      <c r="A308" s="2">
        <f t="shared" si="169"/>
        <v>6461057.1530108694</v>
      </c>
      <c r="B308" s="23">
        <f t="shared" si="170"/>
        <v>9.8500000000000004E-2</v>
      </c>
      <c r="C308" s="2">
        <f t="shared" si="171"/>
        <v>6866811.5422199517</v>
      </c>
      <c r="D308" s="2">
        <f t="shared" si="172"/>
        <v>405754.38920908235</v>
      </c>
      <c r="E308" s="2">
        <f t="shared" si="173"/>
        <v>15993.442434276983</v>
      </c>
      <c r="F308" s="2">
        <f t="shared" si="150"/>
        <v>59</v>
      </c>
      <c r="G308" s="24">
        <f t="shared" si="174"/>
        <v>58788.391969099881</v>
      </c>
      <c r="H308" s="25">
        <f t="shared" si="175"/>
        <v>330913.5548057055</v>
      </c>
      <c r="I308" s="2">
        <f t="shared" si="176"/>
        <v>68830.019399586745</v>
      </c>
      <c r="J308" s="2">
        <f t="shared" si="177"/>
        <v>262083.53540611875</v>
      </c>
      <c r="K308" s="2">
        <f t="shared" si="178"/>
        <v>131041.76770305938</v>
      </c>
      <c r="L308" s="2">
        <f t="shared" si="179"/>
        <v>131041.76770305938</v>
      </c>
      <c r="M308" s="27">
        <f t="shared" si="180"/>
        <v>6592984.9989586016</v>
      </c>
    </row>
    <row r="309" spans="1:13" hidden="1" x14ac:dyDescent="0.3">
      <c r="A309" s="2">
        <f t="shared" si="169"/>
        <v>6592098.9207139285</v>
      </c>
      <c r="B309" s="23">
        <f t="shared" si="170"/>
        <v>9.8500000000000004E-2</v>
      </c>
      <c r="C309" s="2">
        <f t="shared" si="171"/>
        <v>7006082.7329347627</v>
      </c>
      <c r="D309" s="2">
        <f t="shared" si="172"/>
        <v>413983.8122208342</v>
      </c>
      <c r="E309" s="2">
        <f t="shared" si="173"/>
        <v>16317.817984378427</v>
      </c>
      <c r="F309" s="2">
        <f t="shared" si="150"/>
        <v>59</v>
      </c>
      <c r="G309" s="24">
        <f t="shared" si="174"/>
        <v>59980.72545595988</v>
      </c>
      <c r="H309" s="25">
        <f t="shared" si="175"/>
        <v>337626.26878049586</v>
      </c>
      <c r="I309" s="2">
        <f t="shared" si="176"/>
        <v>70226.263906343142</v>
      </c>
      <c r="J309" s="2">
        <f t="shared" si="177"/>
        <v>267400.00487415271</v>
      </c>
      <c r="K309" s="2">
        <f t="shared" si="178"/>
        <v>133700.00243707636</v>
      </c>
      <c r="L309" s="2">
        <f t="shared" si="179"/>
        <v>133700.00243707636</v>
      </c>
      <c r="M309" s="28"/>
    </row>
    <row r="310" spans="1:13" hidden="1" x14ac:dyDescent="0.3">
      <c r="A310" s="2">
        <f t="shared" si="169"/>
        <v>6725798.9231510051</v>
      </c>
      <c r="B310" s="23">
        <f t="shared" si="170"/>
        <v>9.8500000000000004E-2</v>
      </c>
      <c r="C310" s="2">
        <f t="shared" si="171"/>
        <v>7148179.0955248876</v>
      </c>
      <c r="D310" s="2">
        <f t="shared" si="172"/>
        <v>422380.17237388249</v>
      </c>
      <c r="E310" s="2">
        <f t="shared" si="173"/>
        <v>16648.77362241107</v>
      </c>
      <c r="F310" s="2">
        <f t="shared" si="150"/>
        <v>59</v>
      </c>
      <c r="G310" s="24">
        <f t="shared" si="174"/>
        <v>61197.245905075186</v>
      </c>
      <c r="H310" s="25">
        <f t="shared" si="175"/>
        <v>344475.15284639626</v>
      </c>
      <c r="I310" s="2">
        <f t="shared" si="176"/>
        <v>71650.831792050434</v>
      </c>
      <c r="J310" s="2">
        <f t="shared" si="177"/>
        <v>272824.32105434581</v>
      </c>
      <c r="K310" s="2">
        <f t="shared" si="178"/>
        <v>136412.16052717291</v>
      </c>
      <c r="L310" s="2">
        <f t="shared" si="179"/>
        <v>136412.16052717291</v>
      </c>
      <c r="M310" s="28"/>
    </row>
    <row r="311" spans="1:13" hidden="1" x14ac:dyDescent="0.3">
      <c r="A311" s="2">
        <f t="shared" si="169"/>
        <v>6862211.0836781776</v>
      </c>
      <c r="B311" s="23">
        <f t="shared" si="170"/>
        <v>9.8500000000000004E-2</v>
      </c>
      <c r="C311" s="2">
        <f t="shared" si="171"/>
        <v>7293157.9397331672</v>
      </c>
      <c r="D311" s="2">
        <f t="shared" si="172"/>
        <v>430946.85605498962</v>
      </c>
      <c r="E311" s="2">
        <f t="shared" si="173"/>
        <v>16986.442828093612</v>
      </c>
      <c r="F311" s="2">
        <f t="shared" si="150"/>
        <v>59</v>
      </c>
      <c r="G311" s="24">
        <f t="shared" si="174"/>
        <v>62438.443958660908</v>
      </c>
      <c r="H311" s="25">
        <f t="shared" si="175"/>
        <v>351462.96926823515</v>
      </c>
      <c r="I311" s="2">
        <f t="shared" si="176"/>
        <v>73104.29760779292</v>
      </c>
      <c r="J311" s="2">
        <f t="shared" si="177"/>
        <v>278358.67166044225</v>
      </c>
      <c r="K311" s="2">
        <f t="shared" si="178"/>
        <v>139179.33583022113</v>
      </c>
      <c r="L311" s="2">
        <f t="shared" si="179"/>
        <v>139179.33583022113</v>
      </c>
      <c r="M311" s="27">
        <f t="shared" si="180"/>
        <v>7002331.5223624632</v>
      </c>
    </row>
    <row r="312" spans="1:13" hidden="1" x14ac:dyDescent="0.3">
      <c r="A312" s="2">
        <f t="shared" si="169"/>
        <v>7001390.4195083985</v>
      </c>
      <c r="B312" s="23">
        <f t="shared" si="170"/>
        <v>9.8500000000000004E-2</v>
      </c>
      <c r="C312" s="2">
        <f t="shared" si="171"/>
        <v>7441077.7378535261</v>
      </c>
      <c r="D312" s="2">
        <f t="shared" si="172"/>
        <v>439687.31834512763</v>
      </c>
      <c r="E312" s="2">
        <f t="shared" si="173"/>
        <v>17330.961788834309</v>
      </c>
      <c r="F312" s="2">
        <f t="shared" si="150"/>
        <v>59</v>
      </c>
      <c r="G312" s="24">
        <f t="shared" si="174"/>
        <v>63704.820211805978</v>
      </c>
      <c r="H312" s="25">
        <f t="shared" si="175"/>
        <v>358592.53634448734</v>
      </c>
      <c r="I312" s="2">
        <f t="shared" si="176"/>
        <v>74587.247559653377</v>
      </c>
      <c r="J312" s="2">
        <f t="shared" si="177"/>
        <v>284005.28878483397</v>
      </c>
      <c r="K312" s="2">
        <f t="shared" si="178"/>
        <v>142002.64439241699</v>
      </c>
      <c r="L312" s="2">
        <f t="shared" si="179"/>
        <v>142002.64439241699</v>
      </c>
      <c r="M312" s="28"/>
    </row>
    <row r="313" spans="1:13" hidden="1" x14ac:dyDescent="0.3">
      <c r="A313" s="2">
        <f t="shared" si="169"/>
        <v>7143393.0639008153</v>
      </c>
      <c r="B313" s="23">
        <f t="shared" si="170"/>
        <v>9.8500000000000004E-2</v>
      </c>
      <c r="C313" s="2">
        <f t="shared" si="171"/>
        <v>7591998.1483137859</v>
      </c>
      <c r="D313" s="2">
        <f t="shared" si="172"/>
        <v>448605.08441297058</v>
      </c>
      <c r="E313" s="2">
        <f t="shared" si="173"/>
        <v>17682.469454657519</v>
      </c>
      <c r="F313" s="2">
        <f t="shared" si="150"/>
        <v>59</v>
      </c>
      <c r="G313" s="24">
        <f t="shared" si="174"/>
        <v>64996.885414371136</v>
      </c>
      <c r="H313" s="25">
        <f t="shared" si="175"/>
        <v>365866.72954394191</v>
      </c>
      <c r="I313" s="2">
        <f t="shared" si="176"/>
        <v>76100.279745139924</v>
      </c>
      <c r="J313" s="2">
        <f t="shared" si="177"/>
        <v>289766.44979880197</v>
      </c>
      <c r="K313" s="2">
        <f t="shared" si="178"/>
        <v>144883.22489940099</v>
      </c>
      <c r="L313" s="2">
        <f t="shared" si="179"/>
        <v>144883.22489940099</v>
      </c>
      <c r="M313" s="28"/>
    </row>
    <row r="314" spans="1:13" hidden="1" x14ac:dyDescent="0.3">
      <c r="A314" s="2">
        <f t="shared" si="169"/>
        <v>7288276.2888002163</v>
      </c>
      <c r="B314" s="23">
        <f t="shared" si="170"/>
        <v>9.8500000000000004E-2</v>
      </c>
      <c r="C314" s="2">
        <f t="shared" si="171"/>
        <v>7745980.0397368697</v>
      </c>
      <c r="D314" s="2">
        <f t="shared" si="172"/>
        <v>457703.75093665347</v>
      </c>
      <c r="E314" s="2">
        <f t="shared" si="173"/>
        <v>18041.107594244502</v>
      </c>
      <c r="F314" s="2">
        <f t="shared" si="150"/>
        <v>59</v>
      </c>
      <c r="G314" s="24">
        <f t="shared" si="174"/>
        <v>66315.160676982618</v>
      </c>
      <c r="H314" s="25">
        <f t="shared" si="175"/>
        <v>373288.48266542633</v>
      </c>
      <c r="I314" s="2">
        <f t="shared" si="176"/>
        <v>77644.004394408679</v>
      </c>
      <c r="J314" s="2">
        <f t="shared" si="177"/>
        <v>295644.47827101767</v>
      </c>
      <c r="K314" s="2">
        <f t="shared" si="178"/>
        <v>147822.23913550883</v>
      </c>
      <c r="L314" s="2">
        <f t="shared" si="179"/>
        <v>147822.23913550883</v>
      </c>
      <c r="M314" s="27">
        <f t="shared" si="180"/>
        <v>7437098.072374667</v>
      </c>
    </row>
    <row r="315" spans="1:13" hidden="1" x14ac:dyDescent="0.3">
      <c r="A315" s="2">
        <f t="shared" si="169"/>
        <v>7436098.5279357247</v>
      </c>
      <c r="B315" s="23">
        <f t="shared" si="170"/>
        <v>9.8500000000000004E-2</v>
      </c>
      <c r="C315" s="2">
        <f t="shared" si="171"/>
        <v>7903085.5154900877</v>
      </c>
      <c r="D315" s="2">
        <f t="shared" si="172"/>
        <v>466986.98755436298</v>
      </c>
      <c r="E315" s="2">
        <f t="shared" si="173"/>
        <v>18407.020852110974</v>
      </c>
      <c r="F315" s="2">
        <f t="shared" si="150"/>
        <v>59</v>
      </c>
      <c r="G315" s="24">
        <f t="shared" si="174"/>
        <v>67660.177681204397</v>
      </c>
      <c r="H315" s="25">
        <f t="shared" si="175"/>
        <v>380860.78902104759</v>
      </c>
      <c r="I315" s="2">
        <f t="shared" si="176"/>
        <v>79219.044116377903</v>
      </c>
      <c r="J315" s="2">
        <f t="shared" si="177"/>
        <v>301641.7449046697</v>
      </c>
      <c r="K315" s="2">
        <f t="shared" si="178"/>
        <v>150820.87245233485</v>
      </c>
      <c r="L315" s="2">
        <f t="shared" si="179"/>
        <v>150820.87245233485</v>
      </c>
      <c r="M315" s="28"/>
    </row>
    <row r="316" spans="1:13" hidden="1" x14ac:dyDescent="0.3">
      <c r="A316" s="2">
        <f t="shared" si="169"/>
        <v>7586919.4003880592</v>
      </c>
      <c r="B316" s="23">
        <f t="shared" si="170"/>
        <v>9.8500000000000004E-2</v>
      </c>
      <c r="C316" s="2">
        <f t="shared" si="171"/>
        <v>8063377.9387324294</v>
      </c>
      <c r="D316" s="2">
        <f t="shared" si="172"/>
        <v>476458.5383443702</v>
      </c>
      <c r="E316" s="2">
        <f t="shared" si="173"/>
        <v>18780.356806944586</v>
      </c>
      <c r="F316" s="2">
        <f t="shared" si="150"/>
        <v>59</v>
      </c>
      <c r="G316" s="24">
        <f t="shared" si="174"/>
        <v>69032.478893973821</v>
      </c>
      <c r="H316" s="25">
        <f t="shared" si="175"/>
        <v>388586.7026434518</v>
      </c>
      <c r="I316" s="2">
        <f t="shared" si="176"/>
        <v>80826.034149837971</v>
      </c>
      <c r="J316" s="2">
        <f t="shared" si="177"/>
        <v>307760.66849361383</v>
      </c>
      <c r="K316" s="2">
        <f t="shared" si="178"/>
        <v>153880.33424680692</v>
      </c>
      <c r="L316" s="2">
        <f t="shared" si="179"/>
        <v>153880.33424680692</v>
      </c>
      <c r="M316" s="28"/>
    </row>
    <row r="317" spans="1:13" hidden="1" x14ac:dyDescent="0.3">
      <c r="A317" s="2">
        <f t="shared" si="169"/>
        <v>7740799.734634866</v>
      </c>
      <c r="B317" s="23">
        <f t="shared" si="170"/>
        <v>9.8500000000000004E-2</v>
      </c>
      <c r="C317" s="2">
        <f t="shared" si="171"/>
        <v>8226921.9579699356</v>
      </c>
      <c r="D317" s="2">
        <f t="shared" si="172"/>
        <v>486122.2233350696</v>
      </c>
      <c r="E317" s="2">
        <f t="shared" si="173"/>
        <v>19161.26603112576</v>
      </c>
      <c r="F317" s="2">
        <f t="shared" si="150"/>
        <v>59</v>
      </c>
      <c r="G317" s="24">
        <f t="shared" si="174"/>
        <v>70432.617786387404</v>
      </c>
      <c r="H317" s="25">
        <f t="shared" si="175"/>
        <v>396469.33951755648</v>
      </c>
      <c r="I317" s="2">
        <f t="shared" si="176"/>
        <v>82465.622619651753</v>
      </c>
      <c r="J317" s="2">
        <f t="shared" si="177"/>
        <v>314003.71689790476</v>
      </c>
      <c r="K317" s="2">
        <f t="shared" si="178"/>
        <v>157001.85844895238</v>
      </c>
      <c r="L317" s="2">
        <f t="shared" si="179"/>
        <v>157001.85844895238</v>
      </c>
      <c r="M317" s="27">
        <f t="shared" si="180"/>
        <v>7898863.2082740217</v>
      </c>
    </row>
    <row r="318" spans="1:13" hidden="1" x14ac:dyDescent="0.3">
      <c r="A318" s="2">
        <f t="shared" si="169"/>
        <v>7897801.5930838184</v>
      </c>
      <c r="B318" s="23">
        <f t="shared" si="170"/>
        <v>9.8500000000000004E-2</v>
      </c>
      <c r="C318" s="2">
        <f t="shared" si="171"/>
        <v>8393783.5331294816</v>
      </c>
      <c r="D318" s="2">
        <f t="shared" si="172"/>
        <v>495981.94004566316</v>
      </c>
      <c r="E318" s="2">
        <f t="shared" si="173"/>
        <v>19549.902151455961</v>
      </c>
      <c r="F318" s="2">
        <f t="shared" si="150"/>
        <v>59</v>
      </c>
      <c r="G318" s="24">
        <f t="shared" si="174"/>
        <v>71861.159056924371</v>
      </c>
      <c r="H318" s="25">
        <f t="shared" si="175"/>
        <v>404511.87883728277</v>
      </c>
      <c r="I318" s="2">
        <f t="shared" si="176"/>
        <v>84138.470798154827</v>
      </c>
      <c r="J318" s="2">
        <f t="shared" si="177"/>
        <v>320373.40803912794</v>
      </c>
      <c r="K318" s="2">
        <f t="shared" si="178"/>
        <v>160186.70401956397</v>
      </c>
      <c r="L318" s="2">
        <f t="shared" si="179"/>
        <v>160186.70401956397</v>
      </c>
      <c r="M318" s="28"/>
    </row>
    <row r="319" spans="1:13" hidden="1" x14ac:dyDescent="0.3">
      <c r="A319" s="2">
        <f t="shared" si="169"/>
        <v>8057988.2971033826</v>
      </c>
      <c r="B319" s="23">
        <f t="shared" si="170"/>
        <v>9.8500000000000004E-2</v>
      </c>
      <c r="C319" s="2">
        <f t="shared" si="171"/>
        <v>8564029.9621614739</v>
      </c>
      <c r="D319" s="2">
        <f t="shared" si="172"/>
        <v>506041.66505809128</v>
      </c>
      <c r="E319" s="2">
        <f t="shared" si="173"/>
        <v>19946.421911117824</v>
      </c>
      <c r="F319" s="2">
        <f t="shared" si="150"/>
        <v>59</v>
      </c>
      <c r="G319" s="24">
        <f t="shared" si="174"/>
        <v>73318.678859198815</v>
      </c>
      <c r="H319" s="25">
        <f t="shared" si="175"/>
        <v>412717.56428777461</v>
      </c>
      <c r="I319" s="2">
        <f t="shared" si="176"/>
        <v>85845.253371857136</v>
      </c>
      <c r="J319" s="2">
        <f t="shared" si="177"/>
        <v>326872.31091591751</v>
      </c>
      <c r="K319" s="2">
        <f t="shared" si="178"/>
        <v>163436.15545795875</v>
      </c>
      <c r="L319" s="2">
        <f t="shared" si="179"/>
        <v>163436.15545795875</v>
      </c>
      <c r="M319" s="28"/>
    </row>
    <row r="320" spans="1:13" hidden="1" x14ac:dyDescent="0.3">
      <c r="A320" s="2">
        <f t="shared" si="169"/>
        <v>8221424.4525613412</v>
      </c>
      <c r="B320" s="23">
        <f t="shared" si="170"/>
        <v>9.8500000000000004E-2</v>
      </c>
      <c r="C320" s="2">
        <f t="shared" si="171"/>
        <v>8737729.9081821926</v>
      </c>
      <c r="D320" s="2">
        <f t="shared" si="172"/>
        <v>516305.45562085137</v>
      </c>
      <c r="E320" s="2">
        <f t="shared" si="173"/>
        <v>20350.985232892239</v>
      </c>
      <c r="F320" s="2">
        <f t="shared" si="150"/>
        <v>59</v>
      </c>
      <c r="G320" s="24">
        <f t="shared" si="174"/>
        <v>74805.765034331591</v>
      </c>
      <c r="H320" s="25">
        <f t="shared" si="175"/>
        <v>421089.70535362756</v>
      </c>
      <c r="I320" s="2">
        <f t="shared" si="176"/>
        <v>87586.658713554541</v>
      </c>
      <c r="J320" s="2">
        <f t="shared" si="177"/>
        <v>333503.04664007301</v>
      </c>
      <c r="K320" s="2">
        <f t="shared" si="178"/>
        <v>166751.5233200365</v>
      </c>
      <c r="L320" s="2">
        <f t="shared" si="179"/>
        <v>166751.5233200365</v>
      </c>
      <c r="M320" s="27">
        <f t="shared" si="180"/>
        <v>8389303.5163569823</v>
      </c>
    </row>
    <row r="321" spans="1:13" hidden="1" x14ac:dyDescent="0.3">
      <c r="A321" s="2">
        <f t="shared" si="169"/>
        <v>8388175.9758813782</v>
      </c>
      <c r="B321" s="23">
        <f t="shared" si="170"/>
        <v>9.8500000000000004E-2</v>
      </c>
      <c r="C321" s="2">
        <f t="shared" si="171"/>
        <v>8914953.4271667283</v>
      </c>
      <c r="D321" s="2">
        <f t="shared" si="172"/>
        <v>526777.45128535014</v>
      </c>
      <c r="E321" s="2">
        <f t="shared" si="173"/>
        <v>20763.755283657723</v>
      </c>
      <c r="F321" s="2">
        <f t="shared" si="150"/>
        <v>59</v>
      </c>
      <c r="G321" s="24">
        <f t="shared" si="174"/>
        <v>76323.017348036097</v>
      </c>
      <c r="H321" s="25">
        <f t="shared" si="175"/>
        <v>429631.67865365633</v>
      </c>
      <c r="I321" s="2">
        <f t="shared" si="176"/>
        <v>89363.389159960527</v>
      </c>
      <c r="J321" s="2">
        <f t="shared" si="177"/>
        <v>340268.28949369583</v>
      </c>
      <c r="K321" s="2">
        <f t="shared" si="178"/>
        <v>170134.14474684792</v>
      </c>
      <c r="L321" s="2">
        <f t="shared" si="179"/>
        <v>170134.14474684792</v>
      </c>
      <c r="M321" s="28"/>
    </row>
    <row r="322" spans="1:13" hidden="1" x14ac:dyDescent="0.3">
      <c r="A322" s="2">
        <f t="shared" si="169"/>
        <v>8558310.1206282265</v>
      </c>
      <c r="B322" s="23">
        <f t="shared" si="170"/>
        <v>9.8500000000000004E-2</v>
      </c>
      <c r="C322" s="2">
        <f t="shared" si="171"/>
        <v>9095771.9962036796</v>
      </c>
      <c r="D322" s="2">
        <f t="shared" si="172"/>
        <v>537461.87557545304</v>
      </c>
      <c r="E322" s="2">
        <f t="shared" si="173"/>
        <v>21184.898540198286</v>
      </c>
      <c r="F322" s="2">
        <f t="shared" si="150"/>
        <v>59</v>
      </c>
      <c r="G322" s="24">
        <f t="shared" si="174"/>
        <v>77871.047732513427</v>
      </c>
      <c r="H322" s="25">
        <f t="shared" si="175"/>
        <v>438346.92930274131</v>
      </c>
      <c r="I322" s="2">
        <f t="shared" si="176"/>
        <v>91176.161294970196</v>
      </c>
      <c r="J322" s="2">
        <f t="shared" si="177"/>
        <v>347170.76800777111</v>
      </c>
      <c r="K322" s="2">
        <f t="shared" si="178"/>
        <v>173585.38400388556</v>
      </c>
      <c r="L322" s="2">
        <f t="shared" si="179"/>
        <v>173585.38400388556</v>
      </c>
      <c r="M322" s="28"/>
    </row>
    <row r="323" spans="1:13" hidden="1" x14ac:dyDescent="0.3">
      <c r="A323" s="2">
        <f t="shared" si="169"/>
        <v>8731895.5046321116</v>
      </c>
      <c r="B323" s="23">
        <f t="shared" si="170"/>
        <v>9.8500000000000004E-2</v>
      </c>
      <c r="C323" s="2">
        <f t="shared" si="171"/>
        <v>9280258.5423230082</v>
      </c>
      <c r="D323" s="2">
        <f t="shared" si="172"/>
        <v>548363.03769089654</v>
      </c>
      <c r="E323" s="2">
        <f t="shared" si="173"/>
        <v>21614.58485634614</v>
      </c>
      <c r="F323" s="2">
        <f t="shared" ref="F323:F331" si="181">(25*2)*1.18</f>
        <v>59</v>
      </c>
      <c r="G323" s="24">
        <f t="shared" si="174"/>
        <v>79450.480533254347</v>
      </c>
      <c r="H323" s="25">
        <f t="shared" si="175"/>
        <v>447238.97230129607</v>
      </c>
      <c r="I323" s="2">
        <f t="shared" si="176"/>
        <v>93025.706238669591</v>
      </c>
      <c r="J323" s="2">
        <f t="shared" si="177"/>
        <v>354213.2660626265</v>
      </c>
      <c r="K323" s="2">
        <f t="shared" si="178"/>
        <v>177106.63303131325</v>
      </c>
      <c r="L323" s="2">
        <f t="shared" si="179"/>
        <v>177106.63303131325</v>
      </c>
      <c r="M323" s="27">
        <f t="shared" si="180"/>
        <v>8910199.6973214392</v>
      </c>
    </row>
    <row r="324" spans="1:13" hidden="1" x14ac:dyDescent="0.3">
      <c r="A324" s="2">
        <f t="shared" si="169"/>
        <v>8909002.137663424</v>
      </c>
      <c r="B324" s="23">
        <f t="shared" si="170"/>
        <v>9.8500000000000004E-2</v>
      </c>
      <c r="C324" s="2">
        <f t="shared" si="171"/>
        <v>9468487.4719086867</v>
      </c>
      <c r="D324" s="2">
        <f t="shared" si="172"/>
        <v>559485.33424526267</v>
      </c>
      <c r="E324" s="2">
        <f t="shared" si="173"/>
        <v>22052.987531486535</v>
      </c>
      <c r="F324" s="2">
        <f t="shared" si="181"/>
        <v>59</v>
      </c>
      <c r="G324" s="24">
        <f t="shared" si="174"/>
        <v>81061.952760847984</v>
      </c>
      <c r="H324" s="25">
        <f t="shared" si="175"/>
        <v>456311.39395292813</v>
      </c>
      <c r="I324" s="2">
        <f t="shared" si="176"/>
        <v>94912.769942209066</v>
      </c>
      <c r="J324" s="2">
        <f t="shared" si="177"/>
        <v>361398.62401071907</v>
      </c>
      <c r="K324" s="2">
        <f t="shared" si="178"/>
        <v>180699.31200535953</v>
      </c>
      <c r="L324" s="2">
        <f t="shared" si="179"/>
        <v>180699.31200535953</v>
      </c>
      <c r="M324" s="28"/>
    </row>
    <row r="325" spans="1:13" hidden="1" x14ac:dyDescent="0.3">
      <c r="A325" s="2">
        <f t="shared" si="169"/>
        <v>9089701.4496687837</v>
      </c>
      <c r="B325" s="23">
        <f t="shared" si="170"/>
        <v>9.8500000000000004E-2</v>
      </c>
      <c r="C325" s="2">
        <f t="shared" si="171"/>
        <v>9660534.7007079832</v>
      </c>
      <c r="D325" s="2">
        <f t="shared" si="172"/>
        <v>570833.25103919953</v>
      </c>
      <c r="E325" s="2">
        <f t="shared" si="173"/>
        <v>22500.283380452118</v>
      </c>
      <c r="F325" s="2">
        <f t="shared" si="181"/>
        <v>59</v>
      </c>
      <c r="G325" s="24">
        <f t="shared" si="174"/>
        <v>82706.114347898401</v>
      </c>
      <c r="H325" s="25">
        <f t="shared" si="175"/>
        <v>465567.85331084905</v>
      </c>
      <c r="I325" s="2">
        <f t="shared" si="176"/>
        <v>96838.113488656614</v>
      </c>
      <c r="J325" s="2">
        <f t="shared" si="177"/>
        <v>368729.73982219247</v>
      </c>
      <c r="K325" s="2">
        <f t="shared" si="178"/>
        <v>184364.86991109623</v>
      </c>
      <c r="L325" s="2">
        <f t="shared" si="179"/>
        <v>184364.86991109623</v>
      </c>
      <c r="M325" s="28"/>
    </row>
    <row r="326" spans="1:13" hidden="1" x14ac:dyDescent="0.3">
      <c r="A326" s="2">
        <f t="shared" si="169"/>
        <v>9274066.3195798807</v>
      </c>
      <c r="B326" s="23">
        <f t="shared" si="170"/>
        <v>9.8500000000000004E-2</v>
      </c>
      <c r="C326" s="2">
        <f t="shared" si="171"/>
        <v>9856477.6844494976</v>
      </c>
      <c r="D326" s="2">
        <f t="shared" si="172"/>
        <v>582411.36486961693</v>
      </c>
      <c r="E326" s="2">
        <f t="shared" si="173"/>
        <v>22956.652804835252</v>
      </c>
      <c r="F326" s="2">
        <f t="shared" si="181"/>
        <v>59</v>
      </c>
      <c r="G326" s="24">
        <f t="shared" si="174"/>
        <v>84383.628411152735</v>
      </c>
      <c r="H326" s="25">
        <f t="shared" si="175"/>
        <v>475012.08365362894</v>
      </c>
      <c r="I326" s="2">
        <f t="shared" si="176"/>
        <v>98802.513399954827</v>
      </c>
      <c r="J326" s="2">
        <f t="shared" si="177"/>
        <v>376209.57025367412</v>
      </c>
      <c r="K326" s="2">
        <f t="shared" si="178"/>
        <v>188104.78512683706</v>
      </c>
      <c r="L326" s="2">
        <f t="shared" si="179"/>
        <v>188104.78512683706</v>
      </c>
      <c r="M326" s="27">
        <f t="shared" si="180"/>
        <v>9463443.0316712353</v>
      </c>
    </row>
    <row r="327" spans="1:13" hidden="1" x14ac:dyDescent="0.3">
      <c r="A327" s="2">
        <f t="shared" si="169"/>
        <v>9462171.1047067177</v>
      </c>
      <c r="B327" s="23">
        <f t="shared" si="170"/>
        <v>9.8500000000000004E-2</v>
      </c>
      <c r="C327" s="2">
        <f t="shared" si="171"/>
        <v>10056395.450082298</v>
      </c>
      <c r="D327" s="2">
        <f t="shared" si="172"/>
        <v>594224.34537558071</v>
      </c>
      <c r="E327" s="2">
        <f t="shared" si="173"/>
        <v>23422.279865746816</v>
      </c>
      <c r="F327" s="2">
        <f t="shared" si="181"/>
        <v>59</v>
      </c>
      <c r="G327" s="24">
        <f t="shared" si="174"/>
        <v>86095.171518946867</v>
      </c>
      <c r="H327" s="25">
        <f t="shared" si="175"/>
        <v>484647.89399088698</v>
      </c>
      <c r="I327" s="2">
        <f t="shared" si="176"/>
        <v>100806.7619501045</v>
      </c>
      <c r="J327" s="2">
        <f t="shared" si="177"/>
        <v>383841.13204078248</v>
      </c>
      <c r="K327" s="2">
        <f t="shared" si="178"/>
        <v>191920.56602039124</v>
      </c>
      <c r="L327" s="2">
        <f t="shared" si="179"/>
        <v>191920.56602039124</v>
      </c>
      <c r="M327" s="28"/>
    </row>
    <row r="328" spans="1:13" hidden="1" x14ac:dyDescent="0.3">
      <c r="A328" s="2">
        <f t="shared" si="169"/>
        <v>9654091.6707271095</v>
      </c>
      <c r="B328" s="23">
        <f t="shared" si="170"/>
        <v>9.8500000000000004E-2</v>
      </c>
      <c r="C328" s="2">
        <f t="shared" si="171"/>
        <v>10260368.627648771</v>
      </c>
      <c r="D328" s="2">
        <f t="shared" si="172"/>
        <v>606276.95692166127</v>
      </c>
      <c r="E328" s="2">
        <f t="shared" si="173"/>
        <v>23897.352358051055</v>
      </c>
      <c r="F328" s="2">
        <f t="shared" si="181"/>
        <v>59</v>
      </c>
      <c r="G328" s="24">
        <f t="shared" si="174"/>
        <v>87841.433964076394</v>
      </c>
      <c r="H328" s="25">
        <f t="shared" si="175"/>
        <v>494479.17059953377</v>
      </c>
      <c r="I328" s="2">
        <f t="shared" si="176"/>
        <v>102851.66748470304</v>
      </c>
      <c r="J328" s="2">
        <f t="shared" si="177"/>
        <v>391627.5031148307</v>
      </c>
      <c r="K328" s="2">
        <f t="shared" si="178"/>
        <v>195813.75155741535</v>
      </c>
      <c r="L328" s="2">
        <f t="shared" si="179"/>
        <v>195813.75155741535</v>
      </c>
      <c r="M328" s="28"/>
    </row>
    <row r="329" spans="1:13" hidden="1" x14ac:dyDescent="0.3">
      <c r="A329" s="2">
        <f t="shared" si="169"/>
        <v>9849905.4222845249</v>
      </c>
      <c r="B329" s="23">
        <f t="shared" si="170"/>
        <v>9.8500000000000004E-2</v>
      </c>
      <c r="C329" s="2">
        <f t="shared" si="171"/>
        <v>10468479.482803993</v>
      </c>
      <c r="D329" s="2">
        <f t="shared" si="172"/>
        <v>618574.06051946804</v>
      </c>
      <c r="E329" s="2">
        <f t="shared" si="173"/>
        <v>24382.061886106218</v>
      </c>
      <c r="F329" s="2">
        <f t="shared" si="181"/>
        <v>59</v>
      </c>
      <c r="G329" s="24">
        <f t="shared" si="174"/>
        <v>89623.120042202601</v>
      </c>
      <c r="H329" s="25">
        <f t="shared" si="175"/>
        <v>504509.87859115918</v>
      </c>
      <c r="I329" s="2">
        <f t="shared" si="176"/>
        <v>104938.05474696112</v>
      </c>
      <c r="J329" s="2">
        <f t="shared" si="177"/>
        <v>399571.82384419808</v>
      </c>
      <c r="K329" s="2">
        <f t="shared" si="178"/>
        <v>199785.91192209904</v>
      </c>
      <c r="L329" s="2">
        <f t="shared" si="179"/>
        <v>199785.91192209904</v>
      </c>
      <c r="M329" s="27">
        <f t="shared" si="180"/>
        <v>10051042.246616073</v>
      </c>
    </row>
    <row r="330" spans="1:13" hidden="1" x14ac:dyDescent="0.3">
      <c r="A330" s="2">
        <f t="shared" si="169"/>
        <v>10049691.334206624</v>
      </c>
      <c r="B330" s="23">
        <f t="shared" si="170"/>
        <v>9.8500000000000004E-2</v>
      </c>
      <c r="C330" s="2">
        <f t="shared" si="171"/>
        <v>10680811.949994799</v>
      </c>
      <c r="D330" s="2">
        <f t="shared" si="172"/>
        <v>631120.61578817479</v>
      </c>
      <c r="E330" s="2">
        <f t="shared" si="173"/>
        <v>24876.603941041703</v>
      </c>
      <c r="F330" s="2">
        <f t="shared" si="181"/>
        <v>59</v>
      </c>
      <c r="G330" s="24">
        <f t="shared" si="174"/>
        <v>91440.948335906389</v>
      </c>
      <c r="H330" s="25">
        <f t="shared" si="175"/>
        <v>514744.06351122668</v>
      </c>
      <c r="I330" s="2">
        <f t="shared" si="176"/>
        <v>107066.76521033516</v>
      </c>
      <c r="J330" s="2">
        <f t="shared" si="177"/>
        <v>407677.29830089153</v>
      </c>
      <c r="K330" s="2">
        <f t="shared" si="178"/>
        <v>203838.64915044577</v>
      </c>
      <c r="L330" s="2">
        <f t="shared" si="179"/>
        <v>203838.64915044577</v>
      </c>
      <c r="M330" s="28"/>
    </row>
    <row r="331" spans="1:13" hidden="1" x14ac:dyDescent="0.3">
      <c r="A331" s="2">
        <f t="shared" ref="A331" si="182">A330+L330</f>
        <v>10253529.98335707</v>
      </c>
      <c r="B331" s="23">
        <f t="shared" ref="B331" si="183">B330</f>
        <v>9.8500000000000004E-2</v>
      </c>
      <c r="C331" s="2">
        <f t="shared" ref="C331" si="184">A331*1.0628</f>
        <v>10897451.666311894</v>
      </c>
      <c r="D331" s="2">
        <f t="shared" ref="D331" si="185">C331-A331</f>
        <v>643921.6829548236</v>
      </c>
      <c r="E331" s="2">
        <f t="shared" ref="E331" si="186">((A331+C331)*0.0012)</f>
        <v>25381.177979602751</v>
      </c>
      <c r="F331" s="2">
        <f t="shared" si="181"/>
        <v>59</v>
      </c>
      <c r="G331" s="24">
        <f t="shared" ref="G331" si="187">A331 * (17/30) * 8.5 * (B331 / 365 * 7)</f>
        <v>93295.652004504023</v>
      </c>
      <c r="H331" s="25">
        <f t="shared" ref="H331" si="188">D331-E331-F331-G331</f>
        <v>525185.85297071689</v>
      </c>
      <c r="I331" s="2">
        <f t="shared" ref="I331" si="189">(H331*0.2)*1.04</f>
        <v>109238.65741790913</v>
      </c>
      <c r="J331" s="2">
        <f t="shared" ref="J331" si="190">H331-I331</f>
        <v>415947.19555280777</v>
      </c>
      <c r="K331" s="2">
        <f t="shared" ref="K331" si="191">J331*0.5</f>
        <v>207973.59777640388</v>
      </c>
      <c r="L331" s="2">
        <f t="shared" ref="L331" si="192">J331-K331</f>
        <v>207973.59777640388</v>
      </c>
      <c r="M331" s="28"/>
    </row>
    <row r="335" spans="1:13" x14ac:dyDescent="0.3">
      <c r="M335">
        <f>216/3</f>
        <v>72</v>
      </c>
    </row>
    <row r="336" spans="1:13" x14ac:dyDescent="0.3">
      <c r="M336">
        <f>M335/12</f>
        <v>6</v>
      </c>
    </row>
  </sheetData>
  <mergeCells count="110">
    <mergeCell ref="M326:M328"/>
    <mergeCell ref="M329:M331"/>
    <mergeCell ref="M311:M313"/>
    <mergeCell ref="M314:M316"/>
    <mergeCell ref="M317:M319"/>
    <mergeCell ref="M320:M322"/>
    <mergeCell ref="M323:M325"/>
    <mergeCell ref="M296:M298"/>
    <mergeCell ref="M299:M301"/>
    <mergeCell ref="M302:M304"/>
    <mergeCell ref="M305:M307"/>
    <mergeCell ref="M308:M310"/>
    <mergeCell ref="M281:M283"/>
    <mergeCell ref="M284:M286"/>
    <mergeCell ref="M287:M289"/>
    <mergeCell ref="M290:M292"/>
    <mergeCell ref="M293:M295"/>
    <mergeCell ref="M272:M274"/>
    <mergeCell ref="M275:M277"/>
    <mergeCell ref="M278:M280"/>
    <mergeCell ref="M254:M256"/>
    <mergeCell ref="M257:M259"/>
    <mergeCell ref="M260:M262"/>
    <mergeCell ref="M263:M265"/>
    <mergeCell ref="M266:M268"/>
    <mergeCell ref="M269:M271"/>
    <mergeCell ref="M251:M253"/>
    <mergeCell ref="M218:M220"/>
    <mergeCell ref="M221:M223"/>
    <mergeCell ref="M224:M226"/>
    <mergeCell ref="M227:M229"/>
    <mergeCell ref="M230:M232"/>
    <mergeCell ref="M233:M235"/>
    <mergeCell ref="M236:M238"/>
    <mergeCell ref="M239:M241"/>
    <mergeCell ref="M242:M244"/>
    <mergeCell ref="M245:M247"/>
    <mergeCell ref="M248:M250"/>
    <mergeCell ref="M215:M217"/>
    <mergeCell ref="M182:M184"/>
    <mergeCell ref="M185:M187"/>
    <mergeCell ref="M188:M190"/>
    <mergeCell ref="M191:M193"/>
    <mergeCell ref="M194:M196"/>
    <mergeCell ref="M197:M199"/>
    <mergeCell ref="M200:M202"/>
    <mergeCell ref="M203:M205"/>
    <mergeCell ref="M206:M208"/>
    <mergeCell ref="M209:M211"/>
    <mergeCell ref="M212:M214"/>
    <mergeCell ref="M179:M181"/>
    <mergeCell ref="M146:M148"/>
    <mergeCell ref="M149:M151"/>
    <mergeCell ref="M152:M154"/>
    <mergeCell ref="M155:M157"/>
    <mergeCell ref="M158:M160"/>
    <mergeCell ref="M161:M163"/>
    <mergeCell ref="M164:M166"/>
    <mergeCell ref="M167:M169"/>
    <mergeCell ref="M170:M172"/>
    <mergeCell ref="M173:M175"/>
    <mergeCell ref="M176:M178"/>
    <mergeCell ref="M143:M145"/>
    <mergeCell ref="M110:M112"/>
    <mergeCell ref="M113:M115"/>
    <mergeCell ref="M116:M118"/>
    <mergeCell ref="M119:M121"/>
    <mergeCell ref="M122:M124"/>
    <mergeCell ref="M125:M127"/>
    <mergeCell ref="M128:M130"/>
    <mergeCell ref="M131:M133"/>
    <mergeCell ref="M134:M136"/>
    <mergeCell ref="M137:M139"/>
    <mergeCell ref="M140:M142"/>
    <mergeCell ref="M107:M109"/>
    <mergeCell ref="M74:M76"/>
    <mergeCell ref="M77:M79"/>
    <mergeCell ref="M80:M82"/>
    <mergeCell ref="M83:M85"/>
    <mergeCell ref="M86:M88"/>
    <mergeCell ref="M89:M91"/>
    <mergeCell ref="M92:M94"/>
    <mergeCell ref="M95:M97"/>
    <mergeCell ref="M98:M100"/>
    <mergeCell ref="M101:M103"/>
    <mergeCell ref="M104:M106"/>
    <mergeCell ref="M71:M73"/>
    <mergeCell ref="M38:M40"/>
    <mergeCell ref="M41:M43"/>
    <mergeCell ref="M44:M46"/>
    <mergeCell ref="M47:M49"/>
    <mergeCell ref="M50:M52"/>
    <mergeCell ref="M53:M55"/>
    <mergeCell ref="M56:M58"/>
    <mergeCell ref="M59:M61"/>
    <mergeCell ref="M62:M64"/>
    <mergeCell ref="M65:M67"/>
    <mergeCell ref="M68:M70"/>
    <mergeCell ref="M35:M37"/>
    <mergeCell ref="M2:M4"/>
    <mergeCell ref="M5:M7"/>
    <mergeCell ref="M8:M10"/>
    <mergeCell ref="M11:M13"/>
    <mergeCell ref="M14:M16"/>
    <mergeCell ref="M17:M19"/>
    <mergeCell ref="M20:M22"/>
    <mergeCell ref="M23:M25"/>
    <mergeCell ref="M26:M28"/>
    <mergeCell ref="M29:M31"/>
    <mergeCell ref="M32:M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"/>
  <sheetViews>
    <sheetView tabSelected="1" workbookViewId="0">
      <selection activeCell="E12" sqref="E12"/>
    </sheetView>
  </sheetViews>
  <sheetFormatPr defaultRowHeight="14.4" x14ac:dyDescent="0.3"/>
  <cols>
    <col min="3" max="3" width="11.33203125" bestFit="1" customWidth="1"/>
    <col min="5" max="5" width="8.5546875" bestFit="1" customWidth="1"/>
    <col min="6" max="6" width="11.5546875" bestFit="1" customWidth="1"/>
    <col min="9" max="9" width="12.5546875" bestFit="1" customWidth="1"/>
    <col min="12" max="12" width="11.44140625" bestFit="1" customWidth="1"/>
    <col min="15" max="15" width="12.88671875" bestFit="1" customWidth="1"/>
    <col min="18" max="18" width="12.77734375" bestFit="1" customWidth="1"/>
    <col min="21" max="21" width="10.5546875" bestFit="1" customWidth="1"/>
    <col min="27" max="27" width="11.21875" bestFit="1" customWidth="1"/>
    <col min="36" max="36" width="11.5546875" bestFit="1" customWidth="1"/>
    <col min="42" max="42" width="10.44140625" bestFit="1" customWidth="1"/>
    <col min="45" max="45" width="10.44140625" bestFit="1" customWidth="1"/>
  </cols>
  <sheetData>
    <row r="1" spans="1:52" x14ac:dyDescent="0.3">
      <c r="A1" s="4"/>
      <c r="B1" s="29">
        <v>1</v>
      </c>
      <c r="C1" s="29"/>
      <c r="D1" s="29"/>
      <c r="E1" s="29">
        <v>2</v>
      </c>
      <c r="F1" s="29"/>
      <c r="G1" s="29"/>
      <c r="H1" s="29">
        <v>3</v>
      </c>
      <c r="I1" s="29"/>
      <c r="J1" s="29"/>
      <c r="K1" s="29">
        <v>4</v>
      </c>
      <c r="L1" s="29"/>
      <c r="M1" s="29"/>
      <c r="N1" s="29">
        <v>5</v>
      </c>
      <c r="O1" s="29"/>
      <c r="P1" s="29"/>
      <c r="Q1" s="29">
        <v>6</v>
      </c>
      <c r="R1" s="29"/>
      <c r="S1" s="29"/>
      <c r="T1" s="29">
        <v>7</v>
      </c>
      <c r="U1" s="29"/>
      <c r="V1" s="29"/>
      <c r="W1" s="29">
        <v>8</v>
      </c>
      <c r="X1" s="29"/>
      <c r="Y1" s="29"/>
      <c r="Z1" s="29">
        <v>9</v>
      </c>
      <c r="AA1" s="29"/>
      <c r="AB1" s="29"/>
      <c r="AC1" s="29">
        <v>10</v>
      </c>
      <c r="AD1" s="29"/>
      <c r="AE1" s="29"/>
      <c r="AF1" s="29">
        <v>11</v>
      </c>
      <c r="AG1" s="29"/>
      <c r="AH1" s="29"/>
      <c r="AI1" s="29">
        <v>12</v>
      </c>
      <c r="AJ1" s="29"/>
      <c r="AK1" s="29"/>
      <c r="AL1" s="29">
        <v>13</v>
      </c>
      <c r="AM1" s="29"/>
      <c r="AN1" s="29"/>
      <c r="AO1" s="29">
        <v>14</v>
      </c>
      <c r="AP1" s="29"/>
      <c r="AQ1" s="29"/>
      <c r="AR1" s="29">
        <v>15</v>
      </c>
      <c r="AS1" s="29"/>
      <c r="AT1" s="29"/>
      <c r="AU1" s="29">
        <v>16</v>
      </c>
      <c r="AV1" s="29"/>
      <c r="AW1" s="29"/>
      <c r="AX1" s="29">
        <v>17</v>
      </c>
      <c r="AY1" s="29"/>
      <c r="AZ1" s="29"/>
    </row>
    <row r="2" spans="1:52" x14ac:dyDescent="0.3">
      <c r="A2" s="9" t="s">
        <v>24</v>
      </c>
      <c r="B2" s="3" t="s">
        <v>25</v>
      </c>
      <c r="C2" s="3" t="s">
        <v>10</v>
      </c>
      <c r="D2" s="3" t="s">
        <v>26</v>
      </c>
      <c r="E2" s="3" t="s">
        <v>25</v>
      </c>
      <c r="F2" s="3" t="s">
        <v>10</v>
      </c>
      <c r="G2" s="3" t="s">
        <v>26</v>
      </c>
      <c r="H2" s="3" t="s">
        <v>25</v>
      </c>
      <c r="I2" s="3" t="s">
        <v>10</v>
      </c>
      <c r="J2" s="3" t="s">
        <v>26</v>
      </c>
      <c r="K2" s="3" t="s">
        <v>25</v>
      </c>
      <c r="L2" s="3" t="s">
        <v>10</v>
      </c>
      <c r="M2" s="3" t="s">
        <v>26</v>
      </c>
      <c r="N2" s="3" t="s">
        <v>25</v>
      </c>
      <c r="O2" s="3" t="s">
        <v>10</v>
      </c>
      <c r="P2" s="3" t="s">
        <v>26</v>
      </c>
      <c r="Q2" s="3" t="s">
        <v>25</v>
      </c>
      <c r="R2" s="3" t="s">
        <v>10</v>
      </c>
      <c r="S2" s="3" t="s">
        <v>26</v>
      </c>
      <c r="T2" s="3" t="s">
        <v>25</v>
      </c>
      <c r="U2" s="3" t="s">
        <v>10</v>
      </c>
      <c r="V2" s="3" t="s">
        <v>26</v>
      </c>
      <c r="W2" s="3" t="s">
        <v>25</v>
      </c>
      <c r="X2" s="3" t="s">
        <v>10</v>
      </c>
      <c r="Y2" s="3" t="s">
        <v>26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3">
      <c r="A3" s="9">
        <v>1</v>
      </c>
      <c r="B3" s="8">
        <f>'Trading Steps'!M2</f>
        <v>15282.816511464582</v>
      </c>
      <c r="C3" s="7" t="s">
        <v>9</v>
      </c>
      <c r="D3" s="7" t="s">
        <v>28</v>
      </c>
      <c r="E3" s="8">
        <f t="shared" ref="E3:E8" si="0">B3</f>
        <v>15282.816511464582</v>
      </c>
      <c r="F3" s="7" t="s">
        <v>11</v>
      </c>
      <c r="G3" s="10" t="s">
        <v>28</v>
      </c>
      <c r="H3" s="8">
        <f>E3</f>
        <v>15282.816511464582</v>
      </c>
      <c r="I3" s="7" t="s">
        <v>12</v>
      </c>
      <c r="J3" s="7" t="s">
        <v>28</v>
      </c>
      <c r="K3" s="2"/>
      <c r="L3" s="3"/>
      <c r="M3" s="12"/>
      <c r="N3" s="2"/>
      <c r="O3" s="3"/>
      <c r="P3" s="3"/>
      <c r="Q3" s="2"/>
      <c r="R3" s="3"/>
      <c r="S3" s="3"/>
      <c r="T3" s="3"/>
      <c r="U3" s="3"/>
      <c r="V3" s="3"/>
      <c r="W3" s="3"/>
      <c r="X3" s="3"/>
      <c r="Y3" s="3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3">
      <c r="A4" s="11">
        <v>2</v>
      </c>
      <c r="B4" s="14">
        <f>'Trading Steps'!M5</f>
        <v>16160.341304639034</v>
      </c>
      <c r="C4" s="15" t="s">
        <v>13</v>
      </c>
      <c r="D4" s="15" t="s">
        <v>27</v>
      </c>
      <c r="E4" s="8">
        <f t="shared" si="0"/>
        <v>16160.341304639034</v>
      </c>
      <c r="F4" s="7" t="s">
        <v>14</v>
      </c>
      <c r="G4" s="10" t="s">
        <v>28</v>
      </c>
      <c r="H4" s="8">
        <f>E4</f>
        <v>16160.341304639034</v>
      </c>
      <c r="I4" s="7" t="s">
        <v>15</v>
      </c>
      <c r="J4" s="7" t="s">
        <v>28</v>
      </c>
      <c r="K4" s="8">
        <f>H4</f>
        <v>16160.341304639034</v>
      </c>
      <c r="L4" s="7" t="s">
        <v>16</v>
      </c>
      <c r="M4" s="10" t="s">
        <v>28</v>
      </c>
      <c r="N4" s="14">
        <f>K4</f>
        <v>16160.341304639034</v>
      </c>
      <c r="O4" s="15" t="s">
        <v>30</v>
      </c>
      <c r="P4" s="15" t="s">
        <v>27</v>
      </c>
      <c r="Q4" s="14">
        <f>N4</f>
        <v>16160.341304639034</v>
      </c>
      <c r="R4" s="15" t="s">
        <v>31</v>
      </c>
      <c r="S4" s="15" t="s">
        <v>27</v>
      </c>
      <c r="T4" s="14">
        <f>Q4</f>
        <v>16160.341304639034</v>
      </c>
      <c r="U4" s="15" t="s">
        <v>32</v>
      </c>
      <c r="V4" s="15" t="s">
        <v>27</v>
      </c>
      <c r="W4" s="14">
        <f>T4</f>
        <v>16160.341304639034</v>
      </c>
      <c r="X4" s="15" t="s">
        <v>33</v>
      </c>
      <c r="Y4" s="15" t="s">
        <v>27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3">
      <c r="A5" s="11">
        <v>3</v>
      </c>
      <c r="B5" s="2">
        <f>'Trading Steps'!M8</f>
        <v>17092.359546069711</v>
      </c>
      <c r="C5" s="3" t="s">
        <v>17</v>
      </c>
      <c r="D5" s="3" t="s">
        <v>27</v>
      </c>
      <c r="E5" s="8">
        <f t="shared" si="0"/>
        <v>17092.359546069711</v>
      </c>
      <c r="F5" s="7" t="s">
        <v>18</v>
      </c>
      <c r="G5" s="10" t="s">
        <v>28</v>
      </c>
      <c r="H5" s="2">
        <f>E5</f>
        <v>17092.359546069711</v>
      </c>
      <c r="I5" s="3" t="s">
        <v>29</v>
      </c>
      <c r="J5" s="3" t="s">
        <v>27</v>
      </c>
      <c r="K5" s="14">
        <f>H5</f>
        <v>17092.359546069711</v>
      </c>
      <c r="L5" s="15" t="s">
        <v>19</v>
      </c>
      <c r="M5" s="16" t="s">
        <v>27</v>
      </c>
      <c r="N5" s="8">
        <f>K5</f>
        <v>17092.359546069711</v>
      </c>
      <c r="O5" s="7" t="s">
        <v>34</v>
      </c>
      <c r="P5" s="10" t="s">
        <v>28</v>
      </c>
      <c r="Q5" s="8">
        <f t="shared" ref="Q5" si="1">N5</f>
        <v>17092.359546069711</v>
      </c>
      <c r="R5" s="7" t="s">
        <v>20</v>
      </c>
      <c r="S5" s="10" t="s">
        <v>28</v>
      </c>
      <c r="T5" s="2"/>
      <c r="U5" s="3"/>
      <c r="V5" s="12"/>
      <c r="W5" s="2"/>
      <c r="X5" s="3"/>
      <c r="Y5" s="12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3">
      <c r="A6" s="13">
        <v>4</v>
      </c>
      <c r="B6" s="8">
        <f>'Trading Steps'!M11</f>
        <v>18082.255226643196</v>
      </c>
      <c r="C6" s="7" t="s">
        <v>35</v>
      </c>
      <c r="D6" s="7" t="s">
        <v>28</v>
      </c>
      <c r="E6" s="8">
        <f t="shared" si="0"/>
        <v>18082.255226643196</v>
      </c>
      <c r="F6" s="7" t="s">
        <v>21</v>
      </c>
      <c r="G6" s="7" t="s">
        <v>28</v>
      </c>
      <c r="H6" s="2">
        <f>E6</f>
        <v>18082.255226643196</v>
      </c>
      <c r="I6" s="3" t="s">
        <v>22</v>
      </c>
      <c r="J6" s="3" t="s">
        <v>27</v>
      </c>
      <c r="K6" s="2">
        <f>H6</f>
        <v>18082.255226643196</v>
      </c>
      <c r="L6" s="3" t="s">
        <v>36</v>
      </c>
      <c r="M6" s="3" t="s">
        <v>27</v>
      </c>
      <c r="N6" s="2">
        <f>K6</f>
        <v>18082.255226643196</v>
      </c>
      <c r="O6" s="3" t="s">
        <v>37</v>
      </c>
      <c r="P6" s="3" t="s">
        <v>27</v>
      </c>
      <c r="Q6" s="2">
        <f>N6</f>
        <v>18082.255226643196</v>
      </c>
      <c r="R6" s="3" t="s">
        <v>38</v>
      </c>
      <c r="S6" s="3" t="s">
        <v>27</v>
      </c>
      <c r="T6" s="2">
        <f>Q6</f>
        <v>18082.255226643196</v>
      </c>
      <c r="U6" s="3" t="s">
        <v>39</v>
      </c>
      <c r="V6" s="3" t="s">
        <v>27</v>
      </c>
      <c r="W6" s="8">
        <f>T6</f>
        <v>18082.255226643196</v>
      </c>
      <c r="X6" s="7" t="s">
        <v>40</v>
      </c>
      <c r="Y6" s="7" t="s">
        <v>28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3">
      <c r="A7" s="17">
        <v>5</v>
      </c>
      <c r="B7" s="8">
        <f>'Trading Steps'!M14</f>
        <v>19133.622479835441</v>
      </c>
      <c r="C7" s="7" t="s">
        <v>42</v>
      </c>
      <c r="D7" s="7" t="s">
        <v>28</v>
      </c>
      <c r="E7" s="2">
        <f t="shared" si="0"/>
        <v>19133.622479835441</v>
      </c>
      <c r="F7" s="3" t="s">
        <v>41</v>
      </c>
      <c r="G7" s="3" t="s">
        <v>27</v>
      </c>
      <c r="H7" s="18">
        <f>E7</f>
        <v>19133.622479835441</v>
      </c>
      <c r="I7" s="3" t="s">
        <v>43</v>
      </c>
      <c r="J7" s="5" t="s">
        <v>27</v>
      </c>
      <c r="K7" s="18">
        <f>H7</f>
        <v>19133.622479835441</v>
      </c>
      <c r="L7" s="3" t="s">
        <v>47</v>
      </c>
      <c r="M7" s="5" t="s">
        <v>27</v>
      </c>
      <c r="N7" s="18">
        <f>K7</f>
        <v>19133.622479835441</v>
      </c>
      <c r="O7" s="3" t="s">
        <v>18</v>
      </c>
      <c r="P7" s="5" t="s">
        <v>27</v>
      </c>
      <c r="Q7" s="14">
        <f>N7</f>
        <v>19133.622479835441</v>
      </c>
      <c r="R7" s="15" t="s">
        <v>48</v>
      </c>
      <c r="S7" s="15" t="s">
        <v>27</v>
      </c>
      <c r="T7" s="18">
        <f>Q7</f>
        <v>19133.622479835441</v>
      </c>
      <c r="U7" s="3" t="s">
        <v>49</v>
      </c>
      <c r="V7" s="5" t="s">
        <v>27</v>
      </c>
      <c r="W7" s="18">
        <f>T7</f>
        <v>19133.622479835441</v>
      </c>
      <c r="X7" s="3" t="s">
        <v>50</v>
      </c>
      <c r="Y7" s="5" t="s">
        <v>27</v>
      </c>
      <c r="Z7" s="18">
        <f>W7</f>
        <v>19133.622479835441</v>
      </c>
      <c r="AA7" s="3" t="s">
        <v>51</v>
      </c>
      <c r="AB7" s="5" t="s">
        <v>27</v>
      </c>
      <c r="AC7" s="18">
        <f>Z7</f>
        <v>19133.622479835441</v>
      </c>
      <c r="AD7" s="3" t="s">
        <v>52</v>
      </c>
      <c r="AE7" s="5" t="s">
        <v>27</v>
      </c>
      <c r="AF7" s="18">
        <f>AC7</f>
        <v>19133.622479835441</v>
      </c>
      <c r="AG7" s="3" t="s">
        <v>53</v>
      </c>
      <c r="AH7" s="5" t="s">
        <v>27</v>
      </c>
      <c r="AI7" s="18">
        <f>AF7</f>
        <v>19133.622479835441</v>
      </c>
      <c r="AJ7" s="3" t="s">
        <v>54</v>
      </c>
      <c r="AK7" s="5" t="s">
        <v>27</v>
      </c>
      <c r="AL7" s="18">
        <f>AI7</f>
        <v>19133.622479835441</v>
      </c>
      <c r="AM7" s="3" t="s">
        <v>55</v>
      </c>
      <c r="AN7" s="5" t="s">
        <v>27</v>
      </c>
      <c r="AO7" s="8">
        <f>AL7</f>
        <v>19133.622479835441</v>
      </c>
      <c r="AP7" s="7" t="s">
        <v>56</v>
      </c>
      <c r="AQ7" s="7" t="s">
        <v>28</v>
      </c>
      <c r="AR7" s="2">
        <f>AO7</f>
        <v>19133.622479835441</v>
      </c>
      <c r="AS7" s="3" t="s">
        <v>57</v>
      </c>
      <c r="AT7" s="3" t="s">
        <v>27</v>
      </c>
      <c r="AU7" s="2">
        <f>AR7</f>
        <v>19133.622479835441</v>
      </c>
      <c r="AV7" s="3" t="s">
        <v>58</v>
      </c>
      <c r="AW7" s="3" t="s">
        <v>27</v>
      </c>
      <c r="AX7" s="8">
        <f>AU7</f>
        <v>19133.622479835441</v>
      </c>
      <c r="AY7" s="7" t="s">
        <v>59</v>
      </c>
      <c r="AZ7" s="7" t="s">
        <v>28</v>
      </c>
    </row>
    <row r="8" spans="1:52" x14ac:dyDescent="0.3">
      <c r="A8" s="26">
        <v>6</v>
      </c>
      <c r="B8" s="2">
        <f>'Trading Steps'!M17</f>
        <v>20250.278631365098</v>
      </c>
      <c r="C8" s="3" t="s">
        <v>60</v>
      </c>
      <c r="D8" s="3"/>
      <c r="E8" s="2">
        <f t="shared" si="0"/>
        <v>20250.278631365098</v>
      </c>
      <c r="F8" s="3" t="s">
        <v>61</v>
      </c>
      <c r="G8" s="3"/>
      <c r="H8" s="2">
        <f t="shared" ref="H8" si="2">E8</f>
        <v>20250.278631365098</v>
      </c>
      <c r="I8" s="3" t="s">
        <v>62</v>
      </c>
      <c r="J8" s="3"/>
    </row>
  </sheetData>
  <mergeCells count="17">
    <mergeCell ref="Q1:S1"/>
    <mergeCell ref="AI1:AK1"/>
    <mergeCell ref="AF1:AH1"/>
    <mergeCell ref="AC1:AE1"/>
    <mergeCell ref="B1:D1"/>
    <mergeCell ref="E1:G1"/>
    <mergeCell ref="H1:J1"/>
    <mergeCell ref="K1:M1"/>
    <mergeCell ref="N1:P1"/>
    <mergeCell ref="Z1:AB1"/>
    <mergeCell ref="T1:V1"/>
    <mergeCell ref="W1:Y1"/>
    <mergeCell ref="AX1:AZ1"/>
    <mergeCell ref="AU1:AW1"/>
    <mergeCell ref="AR1:AT1"/>
    <mergeCell ref="AO1:AQ1"/>
    <mergeCell ref="AL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Trading Steps</vt:lpstr>
      <vt:lpstr>Force and Reserve Force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2026-08-02T06:02:20Z</dcterms:modified>
</cp:coreProperties>
</file>